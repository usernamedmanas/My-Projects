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9416A27E-08D4-4DD6-B4CF-6E844E1D7A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vised April 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1" l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U7" i="1"/>
  <c r="T7" i="1"/>
  <c r="M8" i="1"/>
  <c r="M9" i="1"/>
  <c r="M10" i="1"/>
  <c r="M11" i="1"/>
  <c r="M12" i="1"/>
  <c r="M13" i="1"/>
  <c r="M14" i="1"/>
  <c r="M15" i="1"/>
  <c r="M16" i="1"/>
  <c r="M17" i="1"/>
  <c r="M18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1" i="1"/>
  <c r="M42" i="1"/>
  <c r="M43" i="1"/>
  <c r="M44" i="1"/>
  <c r="M45" i="1"/>
  <c r="M46" i="1"/>
  <c r="M47" i="1"/>
  <c r="M48" i="1"/>
  <c r="M49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1" i="1"/>
  <c r="L42" i="1"/>
  <c r="L43" i="1"/>
  <c r="L44" i="1"/>
  <c r="L45" i="1"/>
  <c r="L46" i="1"/>
  <c r="L47" i="1"/>
  <c r="L48" i="1"/>
  <c r="L49" i="1"/>
  <c r="M7" i="1"/>
  <c r="L7" i="1"/>
  <c r="S50" i="1"/>
  <c r="R50" i="1"/>
  <c r="Q50" i="1"/>
  <c r="N50" i="1"/>
  <c r="K50" i="1"/>
  <c r="J50" i="1"/>
  <c r="I50" i="1"/>
  <c r="H50" i="1"/>
  <c r="G50" i="1"/>
  <c r="F50" i="1"/>
  <c r="L50" i="1" s="1"/>
  <c r="E50" i="1"/>
  <c r="D50" i="1"/>
  <c r="M50" i="1" l="1"/>
  <c r="O50" i="1"/>
  <c r="U50" i="1" s="1"/>
  <c r="P50" i="1"/>
  <c r="T50" i="1" s="1"/>
</calcChain>
</file>

<file path=xl/sharedStrings.xml><?xml version="1.0" encoding="utf-8"?>
<sst xmlns="http://schemas.openxmlformats.org/spreadsheetml/2006/main" count="76" uniqueCount="56">
  <si>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</si>
  <si>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</si>
  <si>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</si>
  <si>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</si>
  <si>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</si>
  <si>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</si>
  <si>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</si>
  <si>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</si>
  <si>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</si>
  <si>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</si>
  <si>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</si>
  <si>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</si>
  <si>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</si>
  <si>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</si>
  <si>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</si>
  <si>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</si>
  <si>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</si>
  <si>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</si>
  <si>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</si>
  <si>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</si>
  <si>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</si>
  <si>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</si>
  <si>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</si>
  <si>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</si>
  <si>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</si>
  <si>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</si>
  <si>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</si>
  <si>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</si>
  <si>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</si>
  <si>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</si>
  <si>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</si>
  <si>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</si>
  <si>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INDUSIND BANK LTD</t>
  </si>
  <si>
    <t>KARNATAKA BANK LTD</t>
  </si>
  <si>
    <t>KARUR VYSYA BANK LTD</t>
  </si>
  <si>
    <t>KOTAK MAHINDRA BANK LTD</t>
  </si>
  <si>
    <t>SOUTH INDIAN BANK</t>
  </si>
  <si>
    <t>TAMILNAD MERCANTILE BANK LTD</t>
  </si>
  <si>
    <t>YES BANK LTD</t>
  </si>
  <si>
    <t>Foreign Banks</t>
  </si>
  <si>
    <t>BANK OF AMERICA</t>
  </si>
  <si>
    <t>BARCLAYS BANK PLC</t>
  </si>
  <si>
    <t>CITI BANK</t>
  </si>
  <si>
    <t>DEUTSCHE BANK LTD</t>
  </si>
  <si>
    <t xml:space="preserve"> </t>
  </si>
  <si>
    <t>STANDARD CHARTERED BANK LTD</t>
  </si>
  <si>
    <t>Total</t>
  </si>
  <si>
    <t>CSB BANK LTD</t>
  </si>
  <si>
    <t>IDBI BANK LTD</t>
  </si>
  <si>
    <t>IDFC FIRST BANK LTD</t>
  </si>
  <si>
    <t>JAMMU AND KASHMIR BANK LTD</t>
  </si>
  <si>
    <t>RBL BANK LTD</t>
  </si>
  <si>
    <t>DBS INDIA BANK LTD</t>
  </si>
  <si>
    <t>HSBC LTD</t>
  </si>
  <si>
    <t>SBM BANK INDIA LTD</t>
  </si>
  <si>
    <t>AMERICAN EXPRESS BANKING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</si>
</sst>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1" fontId="5" fillId="2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vertical="center"/>
    </xf>
    <xf numFmtId="0" fontId="5" fillId="2" borderId="0" xfId="0" applyFont="1" applyFill="1"/>
    <xf numFmtId="0" fontId="7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/>
    <xf numFmtId="0" fontId="4" fillId="2" borderId="1" xfId="0" applyFont="1" applyFill="1" applyBorder="1"/>
    <xf numFmtId="0" fontId="4" fillId="2" borderId="0" xfId="0" applyFont="1" applyFill="1"/>
    <xf numFmtId="2" fontId="5" fillId="2" borderId="0" xfId="0" applyNumberFormat="1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1" fontId="4" fillId="2" borderId="1" xfId="0" applyNumberFormat="1" applyFont="1" applyFill="1" applyBorder="1"/>
    <xf numFmtId="0" fontId="4" fillId="2" borderId="0" xfId="0" applyFont="1" applyFill="1" applyAlignment="1">
      <alignment vertical="center"/>
    </xf>
    <xf numFmtId="1" fontId="5" fillId="2" borderId="0" xfId="0" applyNumberFormat="1" applyFont="1" applyFill="1"/>
    <xf numFmtId="0" fontId="7" fillId="2" borderId="0" xfId="1" applyFont="1" applyFill="1" applyAlignment="1">
      <alignment horizontal="center" vertical="center" wrapText="1"/>
    </xf>
    <xf numFmtId="1" fontId="4" fillId="2" borderId="0" xfId="0" applyNumberFormat="1" applyFont="1" applyFill="1"/>
    <xf numFmtId="0" fontId="3" fillId="2" borderId="2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U52"/>
  <sheetViews>
    <sheetView tabSelected="1" topLeftCell="A58" zoomScaleNormal="100" workbookViewId="0">
      <selection activeCell="W8" sqref="W8"/>
    </sheetView>
  </sheetViews>
  <sheetFormatPr defaultColWidth="9.109375" defaultRowHeight="13.2" x14ac:dyDescent="0.25"/>
  <cols>
    <col min="1" max="1" width="3.109375" style="16" customWidth="1"/>
    <col min="2" max="2" width="4.5546875" style="6" customWidth="1"/>
    <col min="3" max="3" width="44.44140625" style="6" customWidth="1"/>
    <col min="4" max="4" width="9.33203125" style="6" customWidth="1"/>
    <col min="5" max="5" width="11.6640625" style="6" bestFit="1" customWidth="1"/>
    <col min="6" max="7" width="10.109375" style="6" customWidth="1"/>
    <col min="8" max="8" width="10.44140625" style="6" customWidth="1"/>
    <col min="9" max="9" width="10.109375" style="6" customWidth="1"/>
    <col min="10" max="10" width="8.44140625" style="6" customWidth="1"/>
    <col min="11" max="11" width="5.6640625" style="6" customWidth="1"/>
    <col min="12" max="12" width="10.44140625" style="6" customWidth="1"/>
    <col min="13" max="13" width="14.33203125" style="6" customWidth="1"/>
    <col min="14" max="14" width="10.44140625" style="6" customWidth="1"/>
    <col min="15" max="15" width="10.33203125" style="6" customWidth="1"/>
    <col min="16" max="17" width="10.5546875" style="6" customWidth="1"/>
    <col min="18" max="19" width="8.33203125" style="6" customWidth="1"/>
    <col min="20" max="20" width="10.77734375" style="6" customWidth="1"/>
    <col min="21" max="21" width="11.44140625" style="6" customWidth="1"/>
    <col min="22" max="22" width="12.33203125" style="6" customWidth="1"/>
    <col min="23" max="16384" width="9.109375" style="6"/>
  </cols>
  <sheetData>
    <row r="2" spans="1:21" x14ac:dyDescent="0.25">
      <c r="B2" s="29"/>
      <c r="C2" s="30"/>
      <c r="D2" s="29"/>
      <c r="E2" s="29"/>
      <c r="F2" s="24" t="s">
        <v>0</v>
      </c>
      <c r="G2" s="26"/>
      <c r="H2" s="26"/>
      <c r="I2" s="26"/>
      <c r="J2" s="26"/>
      <c r="K2" s="26"/>
      <c r="L2" s="26"/>
      <c r="M2" s="25"/>
      <c r="N2" s="27" t="s">
        <v>1</v>
      </c>
      <c r="O2" s="28"/>
      <c r="P2" s="28"/>
      <c r="Q2" s="28"/>
      <c r="R2" s="28"/>
      <c r="S2" s="28"/>
      <c r="T2" s="28"/>
      <c r="U2" s="28"/>
    </row>
    <row r="3" spans="1:21" x14ac:dyDescent="0.25">
      <c r="B3" s="29"/>
      <c r="C3" s="30"/>
      <c r="D3" s="29" t="s">
        <v>2</v>
      </c>
      <c r="E3" s="29" t="s">
        <v>3</v>
      </c>
      <c r="F3" s="24" t="s">
        <v>4</v>
      </c>
      <c r="G3" s="26"/>
      <c r="H3" s="26"/>
      <c r="I3" s="26"/>
      <c r="J3" s="26"/>
      <c r="K3" s="26"/>
      <c r="L3" s="26"/>
      <c r="M3" s="25"/>
      <c r="N3" s="27" t="s">
        <v>4</v>
      </c>
      <c r="O3" s="28"/>
      <c r="P3" s="28"/>
      <c r="Q3" s="28"/>
      <c r="R3" s="28"/>
      <c r="S3" s="28"/>
      <c r="T3" s="28"/>
      <c r="U3" s="28"/>
    </row>
    <row r="4" spans="1:21" x14ac:dyDescent="0.25">
      <c r="B4" s="29"/>
      <c r="C4" s="30"/>
      <c r="D4" s="29"/>
      <c r="E4" s="29"/>
      <c r="F4" s="29" t="s">
        <v>5</v>
      </c>
      <c r="G4" s="29"/>
      <c r="H4" s="29" t="s">
        <v>6</v>
      </c>
      <c r="I4" s="29"/>
      <c r="J4" s="30" t="s">
        <v>7</v>
      </c>
      <c r="K4" s="30"/>
      <c r="L4" s="24" t="s">
        <v>46</v>
      </c>
      <c r="M4" s="25"/>
      <c r="N4" s="29" t="s">
        <v>5</v>
      </c>
      <c r="O4" s="29"/>
      <c r="P4" s="29" t="s">
        <v>6</v>
      </c>
      <c r="Q4" s="29"/>
      <c r="R4" s="30" t="s">
        <v>7</v>
      </c>
      <c r="S4" s="30"/>
      <c r="T4" s="27" t="s">
        <v>46</v>
      </c>
      <c r="U4" s="28"/>
    </row>
    <row r="5" spans="1:21" s="11" customFormat="1" ht="39.75" customHeight="1" x14ac:dyDescent="0.3">
      <c r="A5" s="17"/>
      <c r="B5" s="29"/>
      <c r="C5" s="30"/>
      <c r="D5" s="29"/>
      <c r="E5" s="29"/>
      <c r="F5" s="10" t="s">
        <v>8</v>
      </c>
      <c r="G5" s="10" t="s">
        <v>9</v>
      </c>
      <c r="H5" s="10" t="s">
        <v>8</v>
      </c>
      <c r="I5" s="10" t="s">
        <v>9</v>
      </c>
      <c r="J5" s="10" t="s">
        <v>8</v>
      </c>
      <c r="K5" s="10" t="s">
        <v>9</v>
      </c>
      <c r="L5" s="10" t="s">
        <v>8</v>
      </c>
      <c r="M5" s="10" t="s">
        <v>9</v>
      </c>
      <c r="N5" s="10" t="s">
        <v>8</v>
      </c>
      <c r="O5" s="10" t="s">
        <v>9</v>
      </c>
      <c r="P5" s="10" t="s">
        <v>8</v>
      </c>
      <c r="Q5" s="10" t="s">
        <v>9</v>
      </c>
      <c r="R5" s="10" t="s">
        <v>8</v>
      </c>
      <c r="S5" s="10" t="s">
        <v>9</v>
      </c>
      <c r="T5" s="10" t="s">
        <v>8</v>
      </c>
      <c r="U5" s="10" t="s">
        <v>9</v>
      </c>
    </row>
    <row r="6" spans="1:21" x14ac:dyDescent="0.25">
      <c r="B6" s="31" t="s">
        <v>10</v>
      </c>
      <c r="C6" s="3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0"/>
      <c r="U6" s="20"/>
    </row>
    <row r="7" spans="1:21" x14ac:dyDescent="0.25">
      <c r="B7" s="9">
        <v>1</v>
      </c>
      <c r="C7" s="2" t="s">
        <v>11</v>
      </c>
      <c r="D7" s="3">
        <v>1194104</v>
      </c>
      <c r="E7" s="3">
        <v>75272375</v>
      </c>
      <c r="F7" s="3">
        <v>1333849</v>
      </c>
      <c r="G7" s="3">
        <v>4264276.8229999999</v>
      </c>
      <c r="H7" s="3">
        <v>1222023</v>
      </c>
      <c r="I7" s="3">
        <v>5024384.1500000004</v>
      </c>
      <c r="J7" s="3">
        <v>0</v>
      </c>
      <c r="K7" s="3">
        <v>0</v>
      </c>
      <c r="L7" s="3">
        <f>F7+H7+J7</f>
        <v>2555872</v>
      </c>
      <c r="M7" s="3">
        <f>G7+I7+K7</f>
        <v>9288660.9730000012</v>
      </c>
      <c r="N7" s="3">
        <v>8437789</v>
      </c>
      <c r="O7" s="3">
        <v>16176289.366</v>
      </c>
      <c r="P7" s="3">
        <v>4282058</v>
      </c>
      <c r="Q7" s="3">
        <v>6772971.8229999999</v>
      </c>
      <c r="R7" s="3">
        <v>6</v>
      </c>
      <c r="S7" s="3">
        <v>16.501000000000001</v>
      </c>
      <c r="T7" s="21">
        <f>R7+P7+N7</f>
        <v>12719853</v>
      </c>
      <c r="U7" s="21">
        <f>S7+Q7+O7</f>
        <v>22949277.690000001</v>
      </c>
    </row>
    <row r="8" spans="1:21" x14ac:dyDescent="0.25">
      <c r="B8" s="9">
        <v>2</v>
      </c>
      <c r="C8" s="2" t="s">
        <v>12</v>
      </c>
      <c r="D8" s="3">
        <v>165625</v>
      </c>
      <c r="E8" s="3">
        <v>44965718</v>
      </c>
      <c r="F8" s="3">
        <v>151623</v>
      </c>
      <c r="G8" s="3">
        <v>513667.95925000001</v>
      </c>
      <c r="H8" s="3">
        <v>117028</v>
      </c>
      <c r="I8" s="3">
        <v>304402.53501999995</v>
      </c>
      <c r="J8" s="3">
        <v>0</v>
      </c>
      <c r="K8" s="3">
        <v>0</v>
      </c>
      <c r="L8" s="3">
        <f t="shared" ref="L8:L50" si="0">F8+H8+J8</f>
        <v>268651</v>
      </c>
      <c r="M8" s="3">
        <f t="shared" ref="M8:M50" si="1">G8+I8+K8</f>
        <v>818070.49426999991</v>
      </c>
      <c r="N8" s="3">
        <v>5057053</v>
      </c>
      <c r="O8" s="3">
        <v>9142147.8623999991</v>
      </c>
      <c r="P8" s="3">
        <v>3035215</v>
      </c>
      <c r="Q8" s="3">
        <v>3588190.41823</v>
      </c>
      <c r="R8" s="3">
        <v>0</v>
      </c>
      <c r="S8" s="3">
        <v>0</v>
      </c>
      <c r="T8" s="21">
        <f t="shared" ref="T8:T50" si="2">R8+P8+N8</f>
        <v>8092268</v>
      </c>
      <c r="U8" s="21">
        <f t="shared" ref="U8:U50" si="3">S8+Q8+O8</f>
        <v>12730338.28063</v>
      </c>
    </row>
    <row r="9" spans="1:21" x14ac:dyDescent="0.25">
      <c r="B9" s="9">
        <v>3</v>
      </c>
      <c r="C9" s="4" t="s">
        <v>13</v>
      </c>
      <c r="D9" s="3">
        <v>77592</v>
      </c>
      <c r="E9" s="3">
        <v>12382388</v>
      </c>
      <c r="F9" s="3">
        <v>93486</v>
      </c>
      <c r="G9" s="3">
        <v>381074.49200000003</v>
      </c>
      <c r="H9" s="3">
        <v>0</v>
      </c>
      <c r="I9" s="3">
        <v>0</v>
      </c>
      <c r="J9" s="3">
        <v>0</v>
      </c>
      <c r="K9" s="3">
        <v>0</v>
      </c>
      <c r="L9" s="3">
        <f t="shared" si="0"/>
        <v>93486</v>
      </c>
      <c r="M9" s="3">
        <f t="shared" si="1"/>
        <v>381074.49200000003</v>
      </c>
      <c r="N9" s="3">
        <v>3109508</v>
      </c>
      <c r="O9" s="3">
        <v>4596897.0719999997</v>
      </c>
      <c r="P9" s="3">
        <v>1129497</v>
      </c>
      <c r="Q9" s="3">
        <v>1383566.075</v>
      </c>
      <c r="R9" s="3">
        <v>10068</v>
      </c>
      <c r="S9" s="3">
        <v>117930.05059999999</v>
      </c>
      <c r="T9" s="21">
        <f t="shared" si="2"/>
        <v>4249073</v>
      </c>
      <c r="U9" s="21">
        <f t="shared" si="3"/>
        <v>6098393.1975999996</v>
      </c>
    </row>
    <row r="10" spans="1:21" x14ac:dyDescent="0.25">
      <c r="B10" s="9">
        <v>4</v>
      </c>
      <c r="C10" s="2" t="s">
        <v>14</v>
      </c>
      <c r="D10" s="3">
        <v>917871</v>
      </c>
      <c r="E10" s="3">
        <v>47155319</v>
      </c>
      <c r="F10" s="3">
        <v>633273</v>
      </c>
      <c r="G10" s="3">
        <v>1659289.2014700002</v>
      </c>
      <c r="H10" s="3">
        <v>287619</v>
      </c>
      <c r="I10" s="3">
        <v>902958.62263999996</v>
      </c>
      <c r="J10" s="3">
        <v>0</v>
      </c>
      <c r="K10" s="3">
        <v>0</v>
      </c>
      <c r="L10" s="3">
        <f t="shared" si="0"/>
        <v>920892</v>
      </c>
      <c r="M10" s="3">
        <f t="shared" si="1"/>
        <v>2562247.8241100004</v>
      </c>
      <c r="N10" s="3">
        <v>10155094</v>
      </c>
      <c r="O10" s="3">
        <v>20059942.393830001</v>
      </c>
      <c r="P10" s="3">
        <v>4636386</v>
      </c>
      <c r="Q10" s="3">
        <v>7301707.3827200001</v>
      </c>
      <c r="R10" s="3">
        <v>4765</v>
      </c>
      <c r="S10" s="3">
        <v>78285.126999999993</v>
      </c>
      <c r="T10" s="21">
        <f t="shared" si="2"/>
        <v>14796245</v>
      </c>
      <c r="U10" s="21">
        <f t="shared" si="3"/>
        <v>27439934.903550003</v>
      </c>
    </row>
    <row r="11" spans="1:21" x14ac:dyDescent="0.25">
      <c r="B11" s="9">
        <v>5</v>
      </c>
      <c r="C11" s="2" t="s">
        <v>15</v>
      </c>
      <c r="D11" s="3">
        <v>0</v>
      </c>
      <c r="E11" s="3">
        <v>30407359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0"/>
        <v>0</v>
      </c>
      <c r="M11" s="3">
        <f t="shared" si="1"/>
        <v>0</v>
      </c>
      <c r="N11" s="3">
        <v>2794644</v>
      </c>
      <c r="O11" s="3">
        <v>5920474.1270000003</v>
      </c>
      <c r="P11" s="3">
        <v>721543</v>
      </c>
      <c r="Q11" s="3">
        <v>1181989.449</v>
      </c>
      <c r="R11" s="3">
        <v>0</v>
      </c>
      <c r="S11" s="3">
        <v>0</v>
      </c>
      <c r="T11" s="21">
        <f t="shared" si="2"/>
        <v>3516187</v>
      </c>
      <c r="U11" s="21">
        <f t="shared" si="3"/>
        <v>7102463.5760000004</v>
      </c>
    </row>
    <row r="12" spans="1:21" x14ac:dyDescent="0.25">
      <c r="B12" s="9">
        <v>6</v>
      </c>
      <c r="C12" s="2" t="s">
        <v>16</v>
      </c>
      <c r="D12" s="3">
        <v>154353</v>
      </c>
      <c r="E12" s="3">
        <v>27095159</v>
      </c>
      <c r="F12" s="3">
        <v>130521</v>
      </c>
      <c r="G12" s="3">
        <v>390560.14799999999</v>
      </c>
      <c r="H12" s="3">
        <v>70857</v>
      </c>
      <c r="I12" s="3">
        <v>217746.45499999999</v>
      </c>
      <c r="J12" s="3">
        <v>0</v>
      </c>
      <c r="K12" s="3">
        <v>0</v>
      </c>
      <c r="L12" s="3">
        <f t="shared" si="0"/>
        <v>201378</v>
      </c>
      <c r="M12" s="3">
        <f t="shared" si="1"/>
        <v>608306.603</v>
      </c>
      <c r="N12" s="3">
        <v>6090631</v>
      </c>
      <c r="O12" s="3">
        <v>11066117.833000001</v>
      </c>
      <c r="P12" s="3">
        <v>2917766</v>
      </c>
      <c r="Q12" s="3">
        <v>3853086.6129999999</v>
      </c>
      <c r="R12" s="3">
        <v>5916</v>
      </c>
      <c r="S12" s="3">
        <v>90230.430250000005</v>
      </c>
      <c r="T12" s="21">
        <f t="shared" si="2"/>
        <v>9014313</v>
      </c>
      <c r="U12" s="21">
        <f t="shared" si="3"/>
        <v>15009434.876250001</v>
      </c>
    </row>
    <row r="13" spans="1:21" x14ac:dyDescent="0.25">
      <c r="B13" s="9">
        <v>7</v>
      </c>
      <c r="C13" s="2" t="s">
        <v>17</v>
      </c>
      <c r="D13" s="3">
        <v>74442</v>
      </c>
      <c r="E13" s="3">
        <v>14617281</v>
      </c>
      <c r="F13" s="3">
        <v>60881</v>
      </c>
      <c r="G13" s="3">
        <v>147019.90299999999</v>
      </c>
      <c r="H13" s="3">
        <v>26039</v>
      </c>
      <c r="I13" s="3">
        <v>58287.891000000003</v>
      </c>
      <c r="J13" s="3">
        <v>0</v>
      </c>
      <c r="K13" s="3">
        <v>0</v>
      </c>
      <c r="L13" s="3">
        <f t="shared" si="0"/>
        <v>86920</v>
      </c>
      <c r="M13" s="3">
        <f t="shared" si="1"/>
        <v>205307.79399999999</v>
      </c>
      <c r="N13" s="3">
        <v>3752265</v>
      </c>
      <c r="O13" s="3">
        <v>6664726.2790000001</v>
      </c>
      <c r="P13" s="3">
        <v>1294963</v>
      </c>
      <c r="Q13" s="3">
        <v>1862035.11</v>
      </c>
      <c r="R13" s="3">
        <v>0</v>
      </c>
      <c r="S13" s="3">
        <v>0</v>
      </c>
      <c r="T13" s="21">
        <f t="shared" si="2"/>
        <v>5047228</v>
      </c>
      <c r="U13" s="21">
        <f t="shared" si="3"/>
        <v>8526761.3890000004</v>
      </c>
    </row>
    <row r="14" spans="1:21" x14ac:dyDescent="0.25">
      <c r="B14" s="9">
        <v>8</v>
      </c>
      <c r="C14" s="2" t="s">
        <v>18</v>
      </c>
      <c r="D14" s="3">
        <v>0</v>
      </c>
      <c r="E14" s="3">
        <v>3583157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f t="shared" si="0"/>
        <v>0</v>
      </c>
      <c r="M14" s="3">
        <f t="shared" si="1"/>
        <v>0</v>
      </c>
      <c r="N14" s="3">
        <v>587980</v>
      </c>
      <c r="O14" s="3">
        <v>1244782.06492</v>
      </c>
      <c r="P14" s="3">
        <v>370928</v>
      </c>
      <c r="Q14" s="3">
        <v>720664.11732000008</v>
      </c>
      <c r="R14" s="3">
        <v>0</v>
      </c>
      <c r="S14" s="3">
        <v>0</v>
      </c>
      <c r="T14" s="21">
        <f t="shared" si="2"/>
        <v>958908</v>
      </c>
      <c r="U14" s="21">
        <f t="shared" si="3"/>
        <v>1965446.18224</v>
      </c>
    </row>
    <row r="15" spans="1:21" x14ac:dyDescent="0.25">
      <c r="B15" s="9">
        <v>9</v>
      </c>
      <c r="C15" s="2" t="s">
        <v>19</v>
      </c>
      <c r="D15" s="3">
        <v>328673</v>
      </c>
      <c r="E15" s="3">
        <v>45677227</v>
      </c>
      <c r="F15" s="3">
        <v>434360</v>
      </c>
      <c r="G15" s="3">
        <v>1271482.8324800001</v>
      </c>
      <c r="H15" s="3">
        <v>174789</v>
      </c>
      <c r="I15" s="3">
        <v>529403.17556999996</v>
      </c>
      <c r="J15" s="3">
        <v>0</v>
      </c>
      <c r="K15" s="3">
        <v>0</v>
      </c>
      <c r="L15" s="3">
        <f t="shared" si="0"/>
        <v>609149</v>
      </c>
      <c r="M15" s="3">
        <f t="shared" si="1"/>
        <v>1800886.0080500001</v>
      </c>
      <c r="N15" s="3">
        <v>9509827</v>
      </c>
      <c r="O15" s="3">
        <v>19275163.959540002</v>
      </c>
      <c r="P15" s="3">
        <v>5553769</v>
      </c>
      <c r="Q15" s="3">
        <v>7996151.8775300002</v>
      </c>
      <c r="R15" s="3">
        <v>0</v>
      </c>
      <c r="S15" s="3">
        <v>0</v>
      </c>
      <c r="T15" s="21">
        <f t="shared" si="2"/>
        <v>15063596</v>
      </c>
      <c r="U15" s="21">
        <f t="shared" si="3"/>
        <v>27271315.837070003</v>
      </c>
    </row>
    <row r="16" spans="1:21" x14ac:dyDescent="0.25">
      <c r="B16" s="9">
        <v>10</v>
      </c>
      <c r="C16" s="2" t="s">
        <v>20</v>
      </c>
      <c r="D16" s="3">
        <v>13946540</v>
      </c>
      <c r="E16" s="3">
        <v>279530049</v>
      </c>
      <c r="F16" s="3">
        <v>22354744</v>
      </c>
      <c r="G16" s="3">
        <v>66806256.677000001</v>
      </c>
      <c r="H16" s="3">
        <v>19516716</v>
      </c>
      <c r="I16" s="3">
        <v>129190602.961</v>
      </c>
      <c r="J16" s="3">
        <v>0</v>
      </c>
      <c r="K16" s="3">
        <v>0</v>
      </c>
      <c r="L16" s="3">
        <f t="shared" si="0"/>
        <v>41871460</v>
      </c>
      <c r="M16" s="3">
        <f t="shared" si="1"/>
        <v>195996859.63800001</v>
      </c>
      <c r="N16" s="3">
        <v>61387054</v>
      </c>
      <c r="O16" s="3">
        <v>123736452.56156</v>
      </c>
      <c r="P16" s="3">
        <v>33216767</v>
      </c>
      <c r="Q16" s="3">
        <v>51869671.140440002</v>
      </c>
      <c r="R16" s="3">
        <v>2231</v>
      </c>
      <c r="S16" s="3">
        <v>24101.66201</v>
      </c>
      <c r="T16" s="21">
        <f t="shared" si="2"/>
        <v>94606052</v>
      </c>
      <c r="U16" s="21">
        <f t="shared" si="3"/>
        <v>175630225.36401001</v>
      </c>
    </row>
    <row r="17" spans="2:21" x14ac:dyDescent="0.25">
      <c r="B17" s="9">
        <v>11</v>
      </c>
      <c r="C17" s="2" t="s">
        <v>21</v>
      </c>
      <c r="D17" s="3">
        <v>0</v>
      </c>
      <c r="E17" s="3">
        <v>11370697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f t="shared" si="0"/>
        <v>0</v>
      </c>
      <c r="M17" s="3">
        <f t="shared" si="1"/>
        <v>0</v>
      </c>
      <c r="N17" s="3">
        <v>1872340</v>
      </c>
      <c r="O17" s="3">
        <v>3850761.4109999998</v>
      </c>
      <c r="P17" s="3">
        <v>1265799</v>
      </c>
      <c r="Q17" s="3">
        <v>1784847.1229999999</v>
      </c>
      <c r="R17" s="3">
        <v>887</v>
      </c>
      <c r="S17" s="3">
        <v>15864.047</v>
      </c>
      <c r="T17" s="21">
        <f t="shared" si="2"/>
        <v>3139026</v>
      </c>
      <c r="U17" s="21">
        <f t="shared" si="3"/>
        <v>5651472.5810000002</v>
      </c>
    </row>
    <row r="18" spans="2:21" x14ac:dyDescent="0.25">
      <c r="B18" s="9">
        <v>12</v>
      </c>
      <c r="C18" s="2" t="s">
        <v>22</v>
      </c>
      <c r="D18" s="3">
        <v>540048</v>
      </c>
      <c r="E18" s="3">
        <v>48242120</v>
      </c>
      <c r="F18" s="3">
        <v>524324</v>
      </c>
      <c r="G18" s="3">
        <v>1619552.3312000001</v>
      </c>
      <c r="H18" s="3">
        <v>302360</v>
      </c>
      <c r="I18" s="3">
        <v>1018836.9701</v>
      </c>
      <c r="J18" s="3">
        <v>0</v>
      </c>
      <c r="K18" s="3">
        <v>0</v>
      </c>
      <c r="L18" s="3">
        <f t="shared" si="0"/>
        <v>826684</v>
      </c>
      <c r="M18" s="3">
        <f t="shared" si="1"/>
        <v>2638389.3013000004</v>
      </c>
      <c r="N18" s="3">
        <v>10747107</v>
      </c>
      <c r="O18" s="3">
        <v>18887610.405999999</v>
      </c>
      <c r="P18" s="3">
        <v>7178161</v>
      </c>
      <c r="Q18" s="3">
        <v>9930735.6779999994</v>
      </c>
      <c r="R18" s="3">
        <v>1891</v>
      </c>
      <c r="S18" s="3">
        <v>7130.9794000000002</v>
      </c>
      <c r="T18" s="21">
        <f t="shared" si="2"/>
        <v>17927159</v>
      </c>
      <c r="U18" s="21">
        <f t="shared" si="3"/>
        <v>28825477.0634</v>
      </c>
    </row>
    <row r="19" spans="2:21" x14ac:dyDescent="0.25">
      <c r="B19" s="31" t="s">
        <v>23</v>
      </c>
      <c r="C19" s="31"/>
      <c r="D19" s="1"/>
      <c r="E19" s="1"/>
      <c r="F19" s="1"/>
      <c r="G19" s="1"/>
      <c r="H19" s="1"/>
      <c r="I19" s="1"/>
      <c r="J19" s="1"/>
      <c r="K19" s="1"/>
      <c r="L19" s="3"/>
      <c r="M19" s="3"/>
      <c r="N19" s="3"/>
      <c r="O19" s="3"/>
      <c r="P19" s="3"/>
      <c r="Q19" s="3"/>
      <c r="R19" s="3"/>
      <c r="S19" s="3"/>
      <c r="T19" s="21"/>
      <c r="U19" s="21"/>
    </row>
    <row r="20" spans="2:21" x14ac:dyDescent="0.25">
      <c r="B20" s="9">
        <v>13</v>
      </c>
      <c r="C20" s="2" t="s">
        <v>24</v>
      </c>
      <c r="D20" s="3">
        <v>9261251</v>
      </c>
      <c r="E20" s="3">
        <v>27912443</v>
      </c>
      <c r="F20" s="3">
        <v>14458273</v>
      </c>
      <c r="G20" s="3">
        <v>41235128.096000001</v>
      </c>
      <c r="H20" s="3">
        <v>9932531</v>
      </c>
      <c r="I20" s="3">
        <v>50521391.545999996</v>
      </c>
      <c r="J20" s="3">
        <v>0</v>
      </c>
      <c r="K20" s="3">
        <v>0</v>
      </c>
      <c r="L20" s="3">
        <f t="shared" si="0"/>
        <v>24390804</v>
      </c>
      <c r="M20" s="3">
        <f t="shared" si="1"/>
        <v>91756519.64199999</v>
      </c>
      <c r="N20" s="3">
        <v>12507188</v>
      </c>
      <c r="O20" s="3">
        <v>29082291.396000002</v>
      </c>
      <c r="P20" s="3">
        <v>6094942</v>
      </c>
      <c r="Q20" s="3">
        <v>16432756.472999999</v>
      </c>
      <c r="R20" s="3">
        <v>23388</v>
      </c>
      <c r="S20" s="3">
        <v>581706.09949000005</v>
      </c>
      <c r="T20" s="21">
        <f t="shared" si="2"/>
        <v>18625518</v>
      </c>
      <c r="U20" s="21">
        <f t="shared" si="3"/>
        <v>46096753.968490005</v>
      </c>
    </row>
    <row r="21" spans="2:21" x14ac:dyDescent="0.25">
      <c r="B21" s="9">
        <v>14</v>
      </c>
      <c r="C21" s="2" t="s">
        <v>25</v>
      </c>
      <c r="D21" s="3">
        <v>0</v>
      </c>
      <c r="E21" s="3">
        <v>5015559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f t="shared" si="0"/>
        <v>0</v>
      </c>
      <c r="M21" s="3">
        <f t="shared" si="1"/>
        <v>0</v>
      </c>
      <c r="N21" s="3">
        <v>437660</v>
      </c>
      <c r="O21" s="3">
        <v>986710</v>
      </c>
      <c r="P21" s="3">
        <v>523532</v>
      </c>
      <c r="Q21" s="3">
        <v>1276842</v>
      </c>
      <c r="R21" s="3">
        <v>0</v>
      </c>
      <c r="S21" s="3">
        <v>0</v>
      </c>
      <c r="T21" s="21">
        <f t="shared" si="2"/>
        <v>961192</v>
      </c>
      <c r="U21" s="21">
        <f t="shared" si="3"/>
        <v>2263552</v>
      </c>
    </row>
    <row r="22" spans="2:21" x14ac:dyDescent="0.25">
      <c r="B22" s="9">
        <v>15</v>
      </c>
      <c r="C22" s="2" t="s">
        <v>47</v>
      </c>
      <c r="D22" s="3">
        <v>0</v>
      </c>
      <c r="E22" s="3">
        <v>809076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f t="shared" si="0"/>
        <v>0</v>
      </c>
      <c r="M22" s="3">
        <f t="shared" si="1"/>
        <v>0</v>
      </c>
      <c r="N22" s="3">
        <v>245320</v>
      </c>
      <c r="O22" s="3">
        <v>427177.33854000003</v>
      </c>
      <c r="P22" s="3">
        <v>52317</v>
      </c>
      <c r="Q22" s="3">
        <v>86656.78456</v>
      </c>
      <c r="R22" s="3">
        <v>12</v>
      </c>
      <c r="S22" s="3">
        <v>110</v>
      </c>
      <c r="T22" s="21">
        <f t="shared" si="2"/>
        <v>297649</v>
      </c>
      <c r="U22" s="21">
        <f t="shared" si="3"/>
        <v>513944.12310000003</v>
      </c>
    </row>
    <row r="23" spans="2:21" x14ac:dyDescent="0.25">
      <c r="B23" s="9">
        <v>16</v>
      </c>
      <c r="C23" s="2" t="s">
        <v>26</v>
      </c>
      <c r="D23" s="3">
        <v>1790</v>
      </c>
      <c r="E23" s="3">
        <v>2617303</v>
      </c>
      <c r="F23" s="3">
        <v>1429</v>
      </c>
      <c r="G23" s="3">
        <v>4071.76208</v>
      </c>
      <c r="H23" s="3">
        <v>388</v>
      </c>
      <c r="I23" s="3">
        <v>970.69020999999998</v>
      </c>
      <c r="J23" s="3">
        <v>0</v>
      </c>
      <c r="K23" s="3">
        <v>0</v>
      </c>
      <c r="L23" s="3">
        <f t="shared" si="0"/>
        <v>1817</v>
      </c>
      <c r="M23" s="3">
        <f t="shared" si="1"/>
        <v>5042.4522900000002</v>
      </c>
      <c r="N23" s="3">
        <v>960150</v>
      </c>
      <c r="O23" s="3">
        <v>1697165.03137</v>
      </c>
      <c r="P23" s="3">
        <v>262980</v>
      </c>
      <c r="Q23" s="3">
        <v>364467.03818000003</v>
      </c>
      <c r="R23" s="3">
        <v>0</v>
      </c>
      <c r="S23" s="3">
        <v>0</v>
      </c>
      <c r="T23" s="21">
        <f t="shared" si="2"/>
        <v>1223130</v>
      </c>
      <c r="U23" s="21">
        <f t="shared" si="3"/>
        <v>2061632.0695500001</v>
      </c>
    </row>
    <row r="24" spans="2:21" x14ac:dyDescent="0.25">
      <c r="B24" s="9">
        <v>17</v>
      </c>
      <c r="C24" s="2" t="s">
        <v>27</v>
      </c>
      <c r="D24" s="3">
        <v>3715</v>
      </c>
      <c r="E24" s="3">
        <v>864615</v>
      </c>
      <c r="F24" s="3">
        <v>6173</v>
      </c>
      <c r="G24" s="3">
        <v>15371.883669999999</v>
      </c>
      <c r="H24" s="3">
        <v>3691</v>
      </c>
      <c r="I24" s="3">
        <v>12574.42117</v>
      </c>
      <c r="J24" s="3">
        <v>0</v>
      </c>
      <c r="K24" s="3">
        <v>0</v>
      </c>
      <c r="L24" s="3">
        <f t="shared" si="0"/>
        <v>9864</v>
      </c>
      <c r="M24" s="3">
        <f t="shared" si="1"/>
        <v>27946.304839999997</v>
      </c>
      <c r="N24" s="3">
        <v>265208</v>
      </c>
      <c r="O24" s="3">
        <v>542978.46400000004</v>
      </c>
      <c r="P24" s="3">
        <v>93515</v>
      </c>
      <c r="Q24" s="3">
        <v>349976.587</v>
      </c>
      <c r="R24" s="3">
        <v>616</v>
      </c>
      <c r="S24" s="3">
        <v>22626.699000000001</v>
      </c>
      <c r="T24" s="21">
        <f t="shared" si="2"/>
        <v>359339</v>
      </c>
      <c r="U24" s="21">
        <f t="shared" si="3"/>
        <v>915581.75</v>
      </c>
    </row>
    <row r="25" spans="2:21" x14ac:dyDescent="0.25">
      <c r="B25" s="9">
        <v>18</v>
      </c>
      <c r="C25" s="2" t="s">
        <v>28</v>
      </c>
      <c r="D25" s="3">
        <v>7155</v>
      </c>
      <c r="E25" s="3">
        <v>509355</v>
      </c>
      <c r="F25" s="3">
        <v>16919</v>
      </c>
      <c r="G25" s="3">
        <v>36022.960780000001</v>
      </c>
      <c r="H25" s="3">
        <v>6371</v>
      </c>
      <c r="I25" s="3">
        <v>22078.24494</v>
      </c>
      <c r="J25" s="3">
        <v>13</v>
      </c>
      <c r="K25" s="3">
        <v>272.48428999999999</v>
      </c>
      <c r="L25" s="3">
        <f t="shared" si="0"/>
        <v>23303</v>
      </c>
      <c r="M25" s="3">
        <f t="shared" si="1"/>
        <v>58373.690009999998</v>
      </c>
      <c r="N25" s="3">
        <v>256361</v>
      </c>
      <c r="O25" s="3">
        <v>429410.80313999997</v>
      </c>
      <c r="P25" s="3">
        <v>61910</v>
      </c>
      <c r="Q25" s="3">
        <v>97316.596000000005</v>
      </c>
      <c r="R25" s="3">
        <v>0</v>
      </c>
      <c r="S25" s="3">
        <v>0</v>
      </c>
      <c r="T25" s="21">
        <f t="shared" si="2"/>
        <v>318271</v>
      </c>
      <c r="U25" s="21">
        <f t="shared" si="3"/>
        <v>526727.39913999999</v>
      </c>
    </row>
    <row r="26" spans="2:21" x14ac:dyDescent="0.25">
      <c r="B26" s="9">
        <v>19</v>
      </c>
      <c r="C26" s="2" t="s">
        <v>29</v>
      </c>
      <c r="D26" s="3">
        <v>170251</v>
      </c>
      <c r="E26" s="3">
        <v>11406240</v>
      </c>
      <c r="F26" s="3">
        <v>346287</v>
      </c>
      <c r="G26" s="3">
        <v>1093649.8389999999</v>
      </c>
      <c r="H26" s="3">
        <v>426659</v>
      </c>
      <c r="I26" s="3">
        <v>1615374.1229999999</v>
      </c>
      <c r="J26" s="3">
        <v>0</v>
      </c>
      <c r="K26" s="3">
        <v>0</v>
      </c>
      <c r="L26" s="3">
        <f t="shared" si="0"/>
        <v>772946</v>
      </c>
      <c r="M26" s="3">
        <f t="shared" si="1"/>
        <v>2709023.9619999998</v>
      </c>
      <c r="N26" s="3">
        <v>5336874</v>
      </c>
      <c r="O26" s="3">
        <v>9373890.3010000009</v>
      </c>
      <c r="P26" s="3">
        <v>2120994</v>
      </c>
      <c r="Q26" s="3">
        <v>3766522.571</v>
      </c>
      <c r="R26" s="3">
        <v>1836</v>
      </c>
      <c r="S26" s="3">
        <v>20676.88</v>
      </c>
      <c r="T26" s="21">
        <f t="shared" si="2"/>
        <v>7459704</v>
      </c>
      <c r="U26" s="21">
        <f t="shared" si="3"/>
        <v>13161089.752</v>
      </c>
    </row>
    <row r="27" spans="2:21" x14ac:dyDescent="0.25">
      <c r="B27" s="9">
        <v>20</v>
      </c>
      <c r="C27" s="2" t="s">
        <v>30</v>
      </c>
      <c r="D27" s="3">
        <v>16833724</v>
      </c>
      <c r="E27" s="3">
        <v>43572256</v>
      </c>
      <c r="F27" s="3">
        <v>29886445</v>
      </c>
      <c r="G27" s="3">
        <v>119314332.73199999</v>
      </c>
      <c r="H27" s="3">
        <v>26403958</v>
      </c>
      <c r="I27" s="3">
        <v>171480459.99700001</v>
      </c>
      <c r="J27" s="3">
        <v>0</v>
      </c>
      <c r="K27" s="3">
        <v>0</v>
      </c>
      <c r="L27" s="3">
        <f t="shared" si="0"/>
        <v>56290403</v>
      </c>
      <c r="M27" s="3">
        <f t="shared" si="1"/>
        <v>290794792.72899997</v>
      </c>
      <c r="N27" s="3">
        <v>25780179</v>
      </c>
      <c r="O27" s="3">
        <v>60182984.355999999</v>
      </c>
      <c r="P27" s="3">
        <v>17313263</v>
      </c>
      <c r="Q27" s="3">
        <v>39047945.509000003</v>
      </c>
      <c r="R27" s="3">
        <v>547665</v>
      </c>
      <c r="S27" s="3">
        <v>3833618.5839999998</v>
      </c>
      <c r="T27" s="21">
        <f t="shared" si="2"/>
        <v>43641107</v>
      </c>
      <c r="U27" s="21">
        <f t="shared" si="3"/>
        <v>103064548.449</v>
      </c>
    </row>
    <row r="28" spans="2:21" x14ac:dyDescent="0.25">
      <c r="B28" s="9">
        <v>21</v>
      </c>
      <c r="C28" s="2" t="s">
        <v>31</v>
      </c>
      <c r="D28" s="3">
        <v>13128334</v>
      </c>
      <c r="E28" s="3">
        <v>36751248</v>
      </c>
      <c r="F28" s="3">
        <v>19723057</v>
      </c>
      <c r="G28" s="3">
        <v>67932720.050999999</v>
      </c>
      <c r="H28" s="3">
        <v>23471276</v>
      </c>
      <c r="I28" s="3">
        <v>139320624.736</v>
      </c>
      <c r="J28" s="3">
        <v>0</v>
      </c>
      <c r="K28" s="3">
        <v>0</v>
      </c>
      <c r="L28" s="3">
        <f t="shared" si="0"/>
        <v>43194333</v>
      </c>
      <c r="M28" s="3">
        <f t="shared" si="1"/>
        <v>207253344.787</v>
      </c>
      <c r="N28" s="3">
        <v>17712949</v>
      </c>
      <c r="O28" s="3">
        <v>42782287.589000002</v>
      </c>
      <c r="P28" s="3">
        <v>7223684</v>
      </c>
      <c r="Q28" s="3">
        <v>21568077.877</v>
      </c>
      <c r="R28" s="3">
        <v>18425</v>
      </c>
      <c r="S28" s="3">
        <v>158241.81400000001</v>
      </c>
      <c r="T28" s="21">
        <f t="shared" si="2"/>
        <v>24955058</v>
      </c>
      <c r="U28" s="21">
        <f t="shared" si="3"/>
        <v>64508607.280000001</v>
      </c>
    </row>
    <row r="29" spans="2:21" x14ac:dyDescent="0.25">
      <c r="B29" s="9">
        <v>22</v>
      </c>
      <c r="C29" s="2" t="s">
        <v>48</v>
      </c>
      <c r="D29" s="3">
        <v>41889</v>
      </c>
      <c r="E29" s="3">
        <v>12939701</v>
      </c>
      <c r="F29" s="3">
        <v>72536</v>
      </c>
      <c r="G29" s="3">
        <v>216061.40775000001</v>
      </c>
      <c r="H29" s="3">
        <v>49974</v>
      </c>
      <c r="I29" s="3">
        <v>168979.85318999999</v>
      </c>
      <c r="J29" s="3">
        <v>0</v>
      </c>
      <c r="K29" s="3">
        <v>0</v>
      </c>
      <c r="L29" s="3">
        <f t="shared" si="0"/>
        <v>122510</v>
      </c>
      <c r="M29" s="3">
        <f t="shared" si="1"/>
        <v>385041.26094000001</v>
      </c>
      <c r="N29" s="3">
        <v>2917433</v>
      </c>
      <c r="O29" s="3">
        <v>5612595.2709999997</v>
      </c>
      <c r="P29" s="3">
        <v>969264</v>
      </c>
      <c r="Q29" s="3">
        <v>1695826.9509999999</v>
      </c>
      <c r="R29" s="3">
        <v>0</v>
      </c>
      <c r="S29" s="3">
        <v>0</v>
      </c>
      <c r="T29" s="21">
        <f t="shared" si="2"/>
        <v>3886697</v>
      </c>
      <c r="U29" s="21">
        <f t="shared" si="3"/>
        <v>7308422.2219999991</v>
      </c>
    </row>
    <row r="30" spans="2:21" x14ac:dyDescent="0.25">
      <c r="B30" s="9">
        <v>23</v>
      </c>
      <c r="C30" s="2" t="s">
        <v>49</v>
      </c>
      <c r="D30" s="3">
        <v>856394</v>
      </c>
      <c r="E30" s="3">
        <v>4183935</v>
      </c>
      <c r="F30" s="3">
        <v>1387038</v>
      </c>
      <c r="G30" s="3">
        <v>4889459.8389999997</v>
      </c>
      <c r="H30" s="3">
        <v>1233117</v>
      </c>
      <c r="I30" s="3">
        <v>7122440.9230000004</v>
      </c>
      <c r="J30" s="3">
        <v>0</v>
      </c>
      <c r="K30" s="3">
        <v>0</v>
      </c>
      <c r="L30" s="3">
        <f t="shared" si="0"/>
        <v>2620155</v>
      </c>
      <c r="M30" s="3">
        <f t="shared" si="1"/>
        <v>12011900.762</v>
      </c>
      <c r="N30" s="3">
        <v>1421423</v>
      </c>
      <c r="O30" s="3">
        <v>2199060.2609999999</v>
      </c>
      <c r="P30" s="3">
        <v>475556</v>
      </c>
      <c r="Q30" s="3">
        <v>1271460.6059999999</v>
      </c>
      <c r="R30" s="3">
        <v>0</v>
      </c>
      <c r="S30" s="3">
        <v>0</v>
      </c>
      <c r="T30" s="21">
        <f t="shared" si="2"/>
        <v>1896979</v>
      </c>
      <c r="U30" s="21">
        <f t="shared" si="3"/>
        <v>3470520.8669999996</v>
      </c>
    </row>
    <row r="31" spans="2:21" x14ac:dyDescent="0.25">
      <c r="B31" s="9">
        <v>24</v>
      </c>
      <c r="C31" s="2" t="s">
        <v>32</v>
      </c>
      <c r="D31" s="3">
        <v>1922608</v>
      </c>
      <c r="E31" s="3">
        <v>7067037</v>
      </c>
      <c r="F31" s="3">
        <v>2266407</v>
      </c>
      <c r="G31" s="3">
        <v>10555163.302999999</v>
      </c>
      <c r="H31" s="3">
        <v>2398443</v>
      </c>
      <c r="I31" s="3">
        <v>41233029.582999997</v>
      </c>
      <c r="J31" s="3">
        <v>0</v>
      </c>
      <c r="K31" s="3">
        <v>0</v>
      </c>
      <c r="L31" s="3">
        <f t="shared" si="0"/>
        <v>4664850</v>
      </c>
      <c r="M31" s="3">
        <f t="shared" si="1"/>
        <v>51788192.885999992</v>
      </c>
      <c r="N31" s="3">
        <v>1759985</v>
      </c>
      <c r="O31" s="3">
        <v>3639272.1949999998</v>
      </c>
      <c r="P31" s="3">
        <v>1147265</v>
      </c>
      <c r="Q31" s="3">
        <v>3150072.5580000002</v>
      </c>
      <c r="R31" s="3">
        <v>1077</v>
      </c>
      <c r="S31" s="3">
        <v>84399.061000000002</v>
      </c>
      <c r="T31" s="21">
        <f t="shared" si="2"/>
        <v>2908327</v>
      </c>
      <c r="U31" s="21">
        <f t="shared" si="3"/>
        <v>6873743.8140000002</v>
      </c>
    </row>
    <row r="32" spans="2:21" x14ac:dyDescent="0.25">
      <c r="B32" s="9">
        <v>25</v>
      </c>
      <c r="C32" s="2" t="s">
        <v>50</v>
      </c>
      <c r="D32" s="3">
        <v>82098</v>
      </c>
      <c r="E32" s="3">
        <v>3507929</v>
      </c>
      <c r="F32" s="3">
        <v>124381</v>
      </c>
      <c r="G32" s="3">
        <v>814568.33840000001</v>
      </c>
      <c r="H32" s="3">
        <v>106545</v>
      </c>
      <c r="I32" s="3">
        <v>249940.234</v>
      </c>
      <c r="J32" s="3">
        <v>0</v>
      </c>
      <c r="K32" s="3">
        <v>0</v>
      </c>
      <c r="L32" s="3">
        <f t="shared" si="0"/>
        <v>230926</v>
      </c>
      <c r="M32" s="3">
        <f t="shared" si="1"/>
        <v>1064508.5723999999</v>
      </c>
      <c r="N32" s="3">
        <v>1194471</v>
      </c>
      <c r="O32" s="3">
        <v>2915260.64176</v>
      </c>
      <c r="P32" s="3">
        <v>3811305</v>
      </c>
      <c r="Q32" s="3">
        <v>1575033.7311199999</v>
      </c>
      <c r="R32" s="3">
        <v>0</v>
      </c>
      <c r="S32" s="3">
        <v>0</v>
      </c>
      <c r="T32" s="21">
        <f t="shared" si="2"/>
        <v>5005776</v>
      </c>
      <c r="U32" s="21">
        <f t="shared" si="3"/>
        <v>4490294.3728799997</v>
      </c>
    </row>
    <row r="33" spans="1:21" x14ac:dyDescent="0.25">
      <c r="B33" s="9">
        <v>26</v>
      </c>
      <c r="C33" s="2" t="s">
        <v>33</v>
      </c>
      <c r="D33" s="3">
        <v>0</v>
      </c>
      <c r="E33" s="3">
        <v>5144007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f t="shared" si="0"/>
        <v>0</v>
      </c>
      <c r="M33" s="3">
        <f t="shared" si="1"/>
        <v>0</v>
      </c>
      <c r="N33" s="3">
        <v>1862575</v>
      </c>
      <c r="O33" s="3">
        <v>2820280.6975199999</v>
      </c>
      <c r="P33" s="3">
        <v>424515</v>
      </c>
      <c r="Q33" s="3">
        <v>674887.40682999999</v>
      </c>
      <c r="R33" s="3">
        <v>0</v>
      </c>
      <c r="S33" s="3">
        <v>0</v>
      </c>
      <c r="T33" s="21">
        <f t="shared" si="2"/>
        <v>2287090</v>
      </c>
      <c r="U33" s="21">
        <f t="shared" si="3"/>
        <v>3495168.1043499997</v>
      </c>
    </row>
    <row r="34" spans="1:21" x14ac:dyDescent="0.25">
      <c r="B34" s="9">
        <v>27</v>
      </c>
      <c r="C34" s="2" t="s">
        <v>34</v>
      </c>
      <c r="D34" s="3">
        <v>6930</v>
      </c>
      <c r="E34" s="3">
        <v>4063846</v>
      </c>
      <c r="F34" s="3">
        <v>18705</v>
      </c>
      <c r="G34" s="3">
        <v>82484.181389999998</v>
      </c>
      <c r="H34" s="3">
        <v>4367</v>
      </c>
      <c r="I34" s="3">
        <v>38383.836770000002</v>
      </c>
      <c r="J34" s="3">
        <v>0</v>
      </c>
      <c r="K34" s="3">
        <v>0</v>
      </c>
      <c r="L34" s="3">
        <f t="shared" si="0"/>
        <v>23072</v>
      </c>
      <c r="M34" s="3">
        <f t="shared" si="1"/>
        <v>120868.01816000001</v>
      </c>
      <c r="N34" s="3">
        <v>2046250</v>
      </c>
      <c r="O34" s="3">
        <v>4143801.7820000001</v>
      </c>
      <c r="P34" s="3">
        <v>543058</v>
      </c>
      <c r="Q34" s="3">
        <v>1143808.723</v>
      </c>
      <c r="R34" s="3">
        <v>10105</v>
      </c>
      <c r="S34" s="3">
        <v>198918.6073</v>
      </c>
      <c r="T34" s="21">
        <f t="shared" si="2"/>
        <v>2599413</v>
      </c>
      <c r="U34" s="21">
        <f t="shared" si="3"/>
        <v>5486529.1123000002</v>
      </c>
    </row>
    <row r="35" spans="1:21" x14ac:dyDescent="0.25">
      <c r="B35" s="9">
        <v>28</v>
      </c>
      <c r="C35" s="2" t="s">
        <v>35</v>
      </c>
      <c r="D35" s="3">
        <v>3425409</v>
      </c>
      <c r="E35" s="3">
        <v>23883034</v>
      </c>
      <c r="F35" s="3">
        <v>3845081</v>
      </c>
      <c r="G35" s="3">
        <v>11754124.19901</v>
      </c>
      <c r="H35" s="3">
        <v>3129115</v>
      </c>
      <c r="I35" s="3">
        <v>16658319.706190001</v>
      </c>
      <c r="J35" s="3">
        <v>0</v>
      </c>
      <c r="K35" s="3">
        <v>0</v>
      </c>
      <c r="L35" s="3">
        <f t="shared" si="0"/>
        <v>6974196</v>
      </c>
      <c r="M35" s="3">
        <f t="shared" si="1"/>
        <v>28412443.905200001</v>
      </c>
      <c r="N35" s="3">
        <v>5384725</v>
      </c>
      <c r="O35" s="3">
        <v>9284625.09045</v>
      </c>
      <c r="P35" s="3">
        <v>4116930</v>
      </c>
      <c r="Q35" s="3">
        <v>7907962.2053399999</v>
      </c>
      <c r="R35" s="3">
        <v>0</v>
      </c>
      <c r="S35" s="3">
        <v>0</v>
      </c>
      <c r="T35" s="21">
        <f t="shared" si="2"/>
        <v>9501655</v>
      </c>
      <c r="U35" s="21">
        <f t="shared" si="3"/>
        <v>17192587.295790002</v>
      </c>
    </row>
    <row r="36" spans="1:21" x14ac:dyDescent="0.25">
      <c r="B36" s="9">
        <v>29</v>
      </c>
      <c r="C36" s="2" t="s">
        <v>51</v>
      </c>
      <c r="D36" s="3">
        <v>3754269</v>
      </c>
      <c r="E36" s="3">
        <v>1333257</v>
      </c>
      <c r="F36" s="3">
        <v>5181006</v>
      </c>
      <c r="G36" s="3">
        <v>19125875.687259998</v>
      </c>
      <c r="H36" s="3">
        <v>4122947</v>
      </c>
      <c r="I36" s="3">
        <v>22790152.585450001</v>
      </c>
      <c r="J36" s="3">
        <v>0</v>
      </c>
      <c r="K36" s="3">
        <v>0</v>
      </c>
      <c r="L36" s="3">
        <f t="shared" si="0"/>
        <v>9303953</v>
      </c>
      <c r="M36" s="3">
        <f t="shared" si="1"/>
        <v>41916028.272709996</v>
      </c>
      <c r="N36" s="3">
        <v>331224</v>
      </c>
      <c r="O36" s="3">
        <v>654495.66837999958</v>
      </c>
      <c r="P36" s="3">
        <v>142260</v>
      </c>
      <c r="Q36" s="3">
        <v>372809.15489999502</v>
      </c>
      <c r="R36" s="3">
        <v>109</v>
      </c>
      <c r="S36" s="3">
        <v>3309.64455</v>
      </c>
      <c r="T36" s="21">
        <f t="shared" si="2"/>
        <v>473593</v>
      </c>
      <c r="U36" s="21">
        <f t="shared" si="3"/>
        <v>1030614.4678299946</v>
      </c>
    </row>
    <row r="37" spans="1:21" x14ac:dyDescent="0.25">
      <c r="B37" s="9">
        <v>30</v>
      </c>
      <c r="C37" s="2" t="s">
        <v>36</v>
      </c>
      <c r="D37" s="3">
        <v>72601</v>
      </c>
      <c r="E37" s="3">
        <v>3608776</v>
      </c>
      <c r="F37" s="3">
        <v>204326</v>
      </c>
      <c r="G37" s="3">
        <v>607128.50583000004</v>
      </c>
      <c r="H37" s="3">
        <v>214582</v>
      </c>
      <c r="I37" s="3">
        <v>861619.25249999994</v>
      </c>
      <c r="J37" s="3">
        <v>0</v>
      </c>
      <c r="K37" s="3">
        <v>0</v>
      </c>
      <c r="L37" s="3">
        <f t="shared" si="0"/>
        <v>418908</v>
      </c>
      <c r="M37" s="3">
        <f t="shared" si="1"/>
        <v>1468747.7583300001</v>
      </c>
      <c r="N37" s="3">
        <v>1914294</v>
      </c>
      <c r="O37" s="3">
        <v>3533780.1253499999</v>
      </c>
      <c r="P37" s="3">
        <v>479658</v>
      </c>
      <c r="Q37" s="3">
        <v>956256.48935000005</v>
      </c>
      <c r="R37" s="3">
        <v>0</v>
      </c>
      <c r="S37" s="3">
        <v>0</v>
      </c>
      <c r="T37" s="21">
        <f t="shared" si="2"/>
        <v>2393952</v>
      </c>
      <c r="U37" s="21">
        <f t="shared" si="3"/>
        <v>4490036.6146999998</v>
      </c>
    </row>
    <row r="38" spans="1:21" x14ac:dyDescent="0.25">
      <c r="B38" s="9">
        <v>31</v>
      </c>
      <c r="C38" s="2" t="s">
        <v>37</v>
      </c>
      <c r="D38" s="3">
        <v>33594</v>
      </c>
      <c r="E38" s="3">
        <v>2066200</v>
      </c>
      <c r="F38" s="3">
        <v>42408</v>
      </c>
      <c r="G38" s="3">
        <v>176265.70699999999</v>
      </c>
      <c r="H38" s="3">
        <v>21403</v>
      </c>
      <c r="I38" s="3">
        <v>90821.379000000001</v>
      </c>
      <c r="J38" s="3">
        <v>0</v>
      </c>
      <c r="K38" s="3">
        <v>0</v>
      </c>
      <c r="L38" s="3">
        <f t="shared" si="0"/>
        <v>63811</v>
      </c>
      <c r="M38" s="3">
        <f t="shared" si="1"/>
        <v>267087.08600000001</v>
      </c>
      <c r="N38" s="3">
        <v>366456</v>
      </c>
      <c r="O38" s="3">
        <v>726003.8149</v>
      </c>
      <c r="P38" s="3">
        <v>100105</v>
      </c>
      <c r="Q38" s="3">
        <v>194497.12540000002</v>
      </c>
      <c r="R38" s="3">
        <v>101</v>
      </c>
      <c r="S38" s="3">
        <v>301.74</v>
      </c>
      <c r="T38" s="21">
        <f t="shared" si="2"/>
        <v>466662</v>
      </c>
      <c r="U38" s="21">
        <f t="shared" si="3"/>
        <v>920802.68030000001</v>
      </c>
    </row>
    <row r="39" spans="1:21" x14ac:dyDescent="0.25">
      <c r="B39" s="9">
        <v>32</v>
      </c>
      <c r="C39" s="2" t="s">
        <v>38</v>
      </c>
      <c r="D39" s="3">
        <v>1209178</v>
      </c>
      <c r="E39" s="3">
        <v>3682345</v>
      </c>
      <c r="F39" s="3">
        <v>1434076</v>
      </c>
      <c r="G39" s="3">
        <v>4066953.06721</v>
      </c>
      <c r="H39" s="3">
        <v>1078276</v>
      </c>
      <c r="I39" s="3">
        <v>5778573.4554500002</v>
      </c>
      <c r="J39" s="3">
        <v>0</v>
      </c>
      <c r="K39" s="3">
        <v>0</v>
      </c>
      <c r="L39" s="3">
        <f t="shared" si="0"/>
        <v>2512352</v>
      </c>
      <c r="M39" s="3">
        <f t="shared" si="1"/>
        <v>9845526.5226600002</v>
      </c>
      <c r="N39" s="3">
        <v>1340910</v>
      </c>
      <c r="O39" s="3">
        <v>2574299.2644499997</v>
      </c>
      <c r="P39" s="3">
        <v>740660</v>
      </c>
      <c r="Q39" s="3">
        <v>1599976.6674200001</v>
      </c>
      <c r="R39" s="3">
        <v>58</v>
      </c>
      <c r="S39" s="3">
        <v>931.32924000000003</v>
      </c>
      <c r="T39" s="21">
        <f t="shared" si="2"/>
        <v>2081628</v>
      </c>
      <c r="U39" s="21">
        <f t="shared" si="3"/>
        <v>4175207.2611099998</v>
      </c>
    </row>
    <row r="40" spans="1:21" x14ac:dyDescent="0.25">
      <c r="B40" s="31" t="s">
        <v>39</v>
      </c>
      <c r="C40" s="31"/>
      <c r="D40" s="1"/>
      <c r="E40" s="1"/>
      <c r="F40" s="1"/>
      <c r="G40" s="3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1"/>
      <c r="U40" s="21"/>
    </row>
    <row r="41" spans="1:21" x14ac:dyDescent="0.25">
      <c r="B41" s="9">
        <v>33</v>
      </c>
      <c r="C41" s="2" t="s">
        <v>55</v>
      </c>
      <c r="D41" s="3">
        <v>1375307</v>
      </c>
      <c r="E41" s="3">
        <v>0</v>
      </c>
      <c r="F41" s="3">
        <v>1048953</v>
      </c>
      <c r="G41" s="3">
        <v>7532832.5499999998</v>
      </c>
      <c r="H41" s="3">
        <v>3345816</v>
      </c>
      <c r="I41" s="3">
        <v>23437612.333999999</v>
      </c>
      <c r="J41" s="3">
        <v>0</v>
      </c>
      <c r="K41" s="3">
        <v>0</v>
      </c>
      <c r="L41" s="3">
        <f t="shared" si="0"/>
        <v>4394769</v>
      </c>
      <c r="M41" s="3">
        <f t="shared" si="1"/>
        <v>30970444.884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21">
        <f t="shared" si="2"/>
        <v>0</v>
      </c>
      <c r="U41" s="21">
        <f t="shared" si="3"/>
        <v>0</v>
      </c>
    </row>
    <row r="42" spans="1:21" x14ac:dyDescent="0.25">
      <c r="B42" s="9">
        <v>34</v>
      </c>
      <c r="C42" s="2" t="s">
        <v>40</v>
      </c>
      <c r="D42" s="3">
        <v>21588</v>
      </c>
      <c r="E42" s="3">
        <v>0</v>
      </c>
      <c r="F42" s="3">
        <v>26619</v>
      </c>
      <c r="G42" s="3">
        <v>109051.56393999999</v>
      </c>
      <c r="H42" s="3">
        <v>13355</v>
      </c>
      <c r="I42" s="3">
        <v>129305.22547</v>
      </c>
      <c r="J42" s="3">
        <v>0</v>
      </c>
      <c r="K42" s="3">
        <v>0</v>
      </c>
      <c r="L42" s="3">
        <f t="shared" si="0"/>
        <v>39974</v>
      </c>
      <c r="M42" s="3">
        <f t="shared" si="1"/>
        <v>238356.78941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21">
        <f t="shared" si="2"/>
        <v>0</v>
      </c>
      <c r="U42" s="21">
        <f t="shared" si="3"/>
        <v>0</v>
      </c>
    </row>
    <row r="43" spans="1:21" x14ac:dyDescent="0.25">
      <c r="B43" s="9">
        <v>35</v>
      </c>
      <c r="C43" s="2" t="s">
        <v>41</v>
      </c>
      <c r="D43" s="3">
        <v>0</v>
      </c>
      <c r="E43" s="3">
        <v>1702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f t="shared" si="0"/>
        <v>0</v>
      </c>
      <c r="M43" s="3">
        <f t="shared" si="1"/>
        <v>0</v>
      </c>
      <c r="N43" s="3">
        <v>61</v>
      </c>
      <c r="O43" s="3">
        <v>729.726</v>
      </c>
      <c r="P43" s="3">
        <v>39</v>
      </c>
      <c r="Q43" s="3">
        <v>36.9604</v>
      </c>
      <c r="R43" s="3">
        <v>0</v>
      </c>
      <c r="S43" s="3">
        <v>0</v>
      </c>
      <c r="T43" s="21">
        <f t="shared" si="2"/>
        <v>100</v>
      </c>
      <c r="U43" s="21">
        <f t="shared" si="3"/>
        <v>766.68640000000005</v>
      </c>
    </row>
    <row r="44" spans="1:21" x14ac:dyDescent="0.25">
      <c r="B44" s="9">
        <v>36</v>
      </c>
      <c r="C44" s="2" t="s">
        <v>42</v>
      </c>
      <c r="D44" s="3">
        <v>2550891</v>
      </c>
      <c r="E44" s="3">
        <v>1424091</v>
      </c>
      <c r="F44" s="3">
        <v>6803229</v>
      </c>
      <c r="G44" s="3">
        <v>19100051.7707</v>
      </c>
      <c r="H44" s="3">
        <v>6040699</v>
      </c>
      <c r="I44" s="3">
        <v>23383996.818</v>
      </c>
      <c r="J44" s="3">
        <v>0</v>
      </c>
      <c r="K44" s="3">
        <v>0</v>
      </c>
      <c r="L44" s="3">
        <f t="shared" si="0"/>
        <v>12843928</v>
      </c>
      <c r="M44" s="3">
        <f t="shared" si="1"/>
        <v>42484048.588699996</v>
      </c>
      <c r="N44" s="3">
        <v>1104419</v>
      </c>
      <c r="O44" s="3">
        <v>2703743.4225300001</v>
      </c>
      <c r="P44" s="3">
        <v>1080565</v>
      </c>
      <c r="Q44" s="3">
        <v>2981511.3275300004</v>
      </c>
      <c r="R44" s="3">
        <v>0</v>
      </c>
      <c r="S44" s="3">
        <v>0</v>
      </c>
      <c r="T44" s="21">
        <f t="shared" si="2"/>
        <v>2184984</v>
      </c>
      <c r="U44" s="21">
        <f t="shared" si="3"/>
        <v>5685254.7500600005</v>
      </c>
    </row>
    <row r="45" spans="1:21" x14ac:dyDescent="0.25">
      <c r="B45" s="9">
        <v>37</v>
      </c>
      <c r="C45" s="2" t="s">
        <v>52</v>
      </c>
      <c r="D45" s="3">
        <v>4992</v>
      </c>
      <c r="E45" s="3">
        <v>2115415</v>
      </c>
      <c r="F45" s="3">
        <v>3137</v>
      </c>
      <c r="G45" s="3">
        <v>10196.963820000001</v>
      </c>
      <c r="H45" s="3">
        <v>1738</v>
      </c>
      <c r="I45" s="3">
        <v>8791.44247</v>
      </c>
      <c r="J45" s="3">
        <v>0</v>
      </c>
      <c r="K45" s="3">
        <v>0</v>
      </c>
      <c r="L45" s="3">
        <f t="shared" si="0"/>
        <v>4875</v>
      </c>
      <c r="M45" s="3">
        <f t="shared" si="1"/>
        <v>18988.406289999999</v>
      </c>
      <c r="N45" s="3">
        <v>712923</v>
      </c>
      <c r="O45" s="3">
        <v>1014705.64959</v>
      </c>
      <c r="P45" s="3">
        <v>309814</v>
      </c>
      <c r="Q45" s="3">
        <v>484675.97292000003</v>
      </c>
      <c r="R45" s="3">
        <v>506</v>
      </c>
      <c r="S45" s="3">
        <v>7374.0559999999996</v>
      </c>
      <c r="T45" s="21">
        <f t="shared" si="2"/>
        <v>1023243</v>
      </c>
      <c r="U45" s="21">
        <f t="shared" si="3"/>
        <v>1506755.67851</v>
      </c>
    </row>
    <row r="46" spans="1:21" x14ac:dyDescent="0.25">
      <c r="B46" s="9">
        <v>38</v>
      </c>
      <c r="C46" s="2" t="s">
        <v>43</v>
      </c>
      <c r="D46" s="3">
        <v>0</v>
      </c>
      <c r="E46" s="3">
        <v>118492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f t="shared" si="0"/>
        <v>0</v>
      </c>
      <c r="M46" s="3">
        <f t="shared" si="1"/>
        <v>0</v>
      </c>
      <c r="N46" s="3">
        <v>64840</v>
      </c>
      <c r="O46" s="3">
        <v>169365.53136999984</v>
      </c>
      <c r="P46" s="3">
        <v>36863</v>
      </c>
      <c r="Q46" s="3">
        <v>90348.711439999082</v>
      </c>
      <c r="R46" s="3">
        <v>0</v>
      </c>
      <c r="S46" s="3">
        <v>0</v>
      </c>
      <c r="T46" s="21">
        <f t="shared" si="2"/>
        <v>101703</v>
      </c>
      <c r="U46" s="21">
        <f t="shared" si="3"/>
        <v>259714.24280999892</v>
      </c>
    </row>
    <row r="47" spans="1:21" x14ac:dyDescent="0.25">
      <c r="B47" s="9">
        <v>39</v>
      </c>
      <c r="C47" s="2" t="s">
        <v>53</v>
      </c>
      <c r="D47" s="3">
        <v>771007</v>
      </c>
      <c r="E47" s="3">
        <v>517950</v>
      </c>
      <c r="F47" s="3">
        <v>633374</v>
      </c>
      <c r="G47" s="3">
        <v>3311850.1854000003</v>
      </c>
      <c r="H47" s="3">
        <v>1076071</v>
      </c>
      <c r="I47" s="3">
        <v>3815668.9850999997</v>
      </c>
      <c r="J47" s="3">
        <v>0</v>
      </c>
      <c r="K47" s="3">
        <v>0</v>
      </c>
      <c r="L47" s="3">
        <f t="shared" si="0"/>
        <v>1709445</v>
      </c>
      <c r="M47" s="3">
        <f t="shared" si="1"/>
        <v>7127519.1705</v>
      </c>
      <c r="N47" s="3">
        <v>414671</v>
      </c>
      <c r="O47" s="3">
        <v>1170012.6624000012</v>
      </c>
      <c r="P47" s="3">
        <v>0</v>
      </c>
      <c r="Q47" s="3">
        <v>0</v>
      </c>
      <c r="R47" s="3">
        <v>0</v>
      </c>
      <c r="S47" s="3">
        <v>0</v>
      </c>
      <c r="T47" s="21">
        <f t="shared" si="2"/>
        <v>414671</v>
      </c>
      <c r="U47" s="21">
        <f t="shared" si="3"/>
        <v>1170012.6624000012</v>
      </c>
    </row>
    <row r="48" spans="1:21" x14ac:dyDescent="0.25">
      <c r="A48" s="16" t="s">
        <v>44</v>
      </c>
      <c r="B48" s="9">
        <v>40</v>
      </c>
      <c r="C48" s="2" t="s">
        <v>54</v>
      </c>
      <c r="D48" s="3">
        <v>704385</v>
      </c>
      <c r="E48" s="3">
        <v>57693</v>
      </c>
      <c r="F48" s="3">
        <v>271932.25</v>
      </c>
      <c r="G48" s="3">
        <v>1233844.7796400036</v>
      </c>
      <c r="H48" s="3">
        <v>931083.75</v>
      </c>
      <c r="I48" s="3">
        <v>3547292.6187500148</v>
      </c>
      <c r="J48" s="3">
        <v>0</v>
      </c>
      <c r="K48" s="3">
        <v>0</v>
      </c>
      <c r="L48" s="3">
        <f t="shared" si="0"/>
        <v>1203016</v>
      </c>
      <c r="M48" s="3">
        <f t="shared" si="1"/>
        <v>4781137.3983900184</v>
      </c>
      <c r="N48" s="3">
        <v>3079</v>
      </c>
      <c r="O48" s="3">
        <v>7854.2489875000001</v>
      </c>
      <c r="P48" s="3">
        <v>7612</v>
      </c>
      <c r="Q48" s="3">
        <v>19173.209082499998</v>
      </c>
      <c r="R48" s="3">
        <v>0</v>
      </c>
      <c r="S48" s="3">
        <v>0</v>
      </c>
      <c r="T48" s="21">
        <f t="shared" si="2"/>
        <v>10691</v>
      </c>
      <c r="U48" s="21">
        <f t="shared" si="3"/>
        <v>27027.458069999997</v>
      </c>
    </row>
    <row r="49" spans="1:21" x14ac:dyDescent="0.25">
      <c r="B49" s="9">
        <v>41</v>
      </c>
      <c r="C49" s="12" t="s">
        <v>45</v>
      </c>
      <c r="D49" s="3">
        <v>1337531</v>
      </c>
      <c r="E49" s="3">
        <v>1118569</v>
      </c>
      <c r="F49" s="3">
        <v>1480380</v>
      </c>
      <c r="G49" s="3">
        <v>6388892.1817103103</v>
      </c>
      <c r="H49" s="3">
        <v>1703868</v>
      </c>
      <c r="I49" s="3">
        <v>5228990.8251092536</v>
      </c>
      <c r="J49" s="3">
        <v>0</v>
      </c>
      <c r="K49" s="3">
        <v>0</v>
      </c>
      <c r="L49" s="3">
        <f t="shared" si="0"/>
        <v>3184248</v>
      </c>
      <c r="M49" s="3">
        <f t="shared" si="1"/>
        <v>11617883.006819565</v>
      </c>
      <c r="N49" s="3">
        <v>914612</v>
      </c>
      <c r="O49" s="3">
        <v>2256520.6260000002</v>
      </c>
      <c r="P49" s="3">
        <v>687596</v>
      </c>
      <c r="Q49" s="3">
        <v>1155396.9890000001</v>
      </c>
      <c r="R49" s="3">
        <v>39</v>
      </c>
      <c r="S49" s="3">
        <v>746.11900000000003</v>
      </c>
      <c r="T49" s="21">
        <f t="shared" si="2"/>
        <v>1602247</v>
      </c>
      <c r="U49" s="21">
        <f t="shared" si="3"/>
        <v>3412663.7340000002</v>
      </c>
    </row>
    <row r="50" spans="1:21" s="14" customFormat="1" x14ac:dyDescent="0.25">
      <c r="A50" s="18"/>
      <c r="B50" s="13"/>
      <c r="C50" s="1" t="s">
        <v>46</v>
      </c>
      <c r="D50" s="5">
        <f t="shared" ref="D50:K50" si="4">SUM(D7:D49)</f>
        <v>74976139</v>
      </c>
      <c r="E50" s="5">
        <f t="shared" si="4"/>
        <v>846590923</v>
      </c>
      <c r="F50" s="5">
        <f t="shared" si="4"/>
        <v>114999232.25</v>
      </c>
      <c r="G50" s="5">
        <f t="shared" si="4"/>
        <v>396659281.92299026</v>
      </c>
      <c r="H50" s="5">
        <f t="shared" si="4"/>
        <v>107433704.75</v>
      </c>
      <c r="I50" s="5">
        <f t="shared" si="4"/>
        <v>654764015.57609916</v>
      </c>
      <c r="J50" s="5">
        <f t="shared" si="4"/>
        <v>13</v>
      </c>
      <c r="K50" s="5">
        <f t="shared" si="4"/>
        <v>272.48428999999999</v>
      </c>
      <c r="L50" s="19">
        <f t="shared" si="0"/>
        <v>222432950</v>
      </c>
      <c r="M50" s="19">
        <f t="shared" si="1"/>
        <v>1051423569.9833795</v>
      </c>
      <c r="N50" s="5">
        <f t="shared" ref="N50:S50" si="5">SUM(N7:N49)</f>
        <v>210757532</v>
      </c>
      <c r="O50" s="5">
        <f t="shared" si="5"/>
        <v>431552667.29398751</v>
      </c>
      <c r="P50" s="5">
        <f t="shared" si="5"/>
        <v>114423054</v>
      </c>
      <c r="Q50" s="5">
        <f t="shared" si="5"/>
        <v>206509913.03171247</v>
      </c>
      <c r="R50" s="5">
        <f t="shared" si="5"/>
        <v>629701</v>
      </c>
      <c r="S50" s="5">
        <f t="shared" si="5"/>
        <v>5246519.4308400005</v>
      </c>
      <c r="T50" s="23">
        <f t="shared" si="2"/>
        <v>325810287</v>
      </c>
      <c r="U50" s="23">
        <f t="shared" si="3"/>
        <v>643309099.75654006</v>
      </c>
    </row>
    <row r="51" spans="1:21" x14ac:dyDescent="0.25">
      <c r="B51" s="7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22"/>
      <c r="U51" s="22"/>
    </row>
    <row r="52" spans="1:21" x14ac:dyDescent="0.25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</sheetData>
  <mergeCells count="20">
    <mergeCell ref="B6:C6"/>
    <mergeCell ref="B19:C19"/>
    <mergeCell ref="B40:C40"/>
    <mergeCell ref="B2:B5"/>
    <mergeCell ref="C2:C5"/>
    <mergeCell ref="D2:E2"/>
    <mergeCell ref="F4:G4"/>
    <mergeCell ref="H4:I4"/>
    <mergeCell ref="D3:D5"/>
    <mergeCell ref="E3:E5"/>
    <mergeCell ref="L4:M4"/>
    <mergeCell ref="F2:M2"/>
    <mergeCell ref="F3:M3"/>
    <mergeCell ref="T4:U4"/>
    <mergeCell ref="N2:U2"/>
    <mergeCell ref="N3:U3"/>
    <mergeCell ref="J4:K4"/>
    <mergeCell ref="N4:O4"/>
    <mergeCell ref="P4:Q4"/>
    <mergeCell ref="R4:S4"/>
  </mergeCells>
  <pageMargins left="3.937007874015748E-2" right="3.937007874015748E-2" top="3.937007874015748E-2" bottom="3.937007874015748E-2" header="3.937007874015748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April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2022-06-07T09:59:34Z</cp:lastPrinted>
  <dcterms:created xsi:type="dcterms:W3CDTF">2022-05-24T05:43:13Z</dcterms:created>
  <dcterms:modified xsi:type="dcterms:W3CDTF">2023-07-18T15:29:54Z</dcterms:modified>
</cp:coreProperties>
</file>