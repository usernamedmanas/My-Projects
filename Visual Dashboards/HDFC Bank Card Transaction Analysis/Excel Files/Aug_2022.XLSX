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E:\Data Portfolio Project\HDFC Bank Card Transaction Analysis\Excel Files\"/>
    </mc:Choice>
  </mc:AlternateContent>
  <xr:revisionPtr revIDLastSave="0" documentId="13_ncr:1_{0129215C-0D6E-4C4A-8123-5F7AEF396F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ugust 2022 (Revised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" i="1" l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U7" i="1"/>
  <c r="T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M7" i="1"/>
  <c r="L7" i="1"/>
  <c r="S49" i="1"/>
  <c r="R49" i="1"/>
  <c r="Q49" i="1"/>
  <c r="P49" i="1"/>
  <c r="O49" i="1"/>
  <c r="N49" i="1"/>
  <c r="K49" i="1"/>
  <c r="J49" i="1"/>
  <c r="I49" i="1"/>
  <c r="H49" i="1"/>
  <c r="G49" i="1"/>
  <c r="F49" i="1"/>
  <c r="E49" i="1"/>
  <c r="D49" i="1"/>
  <c r="S48" i="1"/>
  <c r="R48" i="1"/>
  <c r="Q48" i="1"/>
  <c r="P48" i="1"/>
  <c r="O48" i="1"/>
  <c r="N48" i="1"/>
  <c r="K48" i="1"/>
  <c r="J48" i="1"/>
  <c r="I48" i="1"/>
  <c r="H48" i="1"/>
  <c r="G48" i="1"/>
  <c r="F48" i="1"/>
  <c r="E48" i="1"/>
  <c r="D48" i="1"/>
  <c r="S47" i="1"/>
  <c r="R47" i="1"/>
  <c r="Q47" i="1"/>
  <c r="P47" i="1"/>
  <c r="O47" i="1"/>
  <c r="N47" i="1"/>
  <c r="K47" i="1"/>
  <c r="J47" i="1"/>
  <c r="I47" i="1"/>
  <c r="H47" i="1"/>
  <c r="G47" i="1"/>
  <c r="F47" i="1"/>
  <c r="E47" i="1"/>
  <c r="D47" i="1"/>
  <c r="S46" i="1"/>
  <c r="R46" i="1"/>
  <c r="Q46" i="1"/>
  <c r="P46" i="1"/>
  <c r="O46" i="1"/>
  <c r="N46" i="1"/>
  <c r="K46" i="1"/>
  <c r="J46" i="1"/>
  <c r="I46" i="1"/>
  <c r="H46" i="1"/>
  <c r="G46" i="1"/>
  <c r="F46" i="1"/>
  <c r="E46" i="1"/>
  <c r="D46" i="1"/>
  <c r="S45" i="1"/>
  <c r="R45" i="1"/>
  <c r="Q45" i="1"/>
  <c r="P45" i="1"/>
  <c r="O45" i="1"/>
  <c r="N45" i="1"/>
  <c r="K45" i="1"/>
  <c r="J45" i="1"/>
  <c r="I45" i="1"/>
  <c r="H45" i="1"/>
  <c r="G45" i="1"/>
  <c r="F45" i="1"/>
  <c r="E45" i="1"/>
  <c r="D45" i="1"/>
  <c r="S44" i="1"/>
  <c r="R44" i="1"/>
  <c r="Q44" i="1"/>
  <c r="P44" i="1"/>
  <c r="O44" i="1"/>
  <c r="N44" i="1"/>
  <c r="K44" i="1"/>
  <c r="J44" i="1"/>
  <c r="I44" i="1"/>
  <c r="H44" i="1"/>
  <c r="G44" i="1"/>
  <c r="F44" i="1"/>
  <c r="E44" i="1"/>
  <c r="D44" i="1"/>
  <c r="S43" i="1"/>
  <c r="R43" i="1"/>
  <c r="Q43" i="1"/>
  <c r="P43" i="1"/>
  <c r="O43" i="1"/>
  <c r="N43" i="1"/>
  <c r="K43" i="1"/>
  <c r="J43" i="1"/>
  <c r="I43" i="1"/>
  <c r="H43" i="1"/>
  <c r="G43" i="1"/>
  <c r="F43" i="1"/>
  <c r="E43" i="1"/>
  <c r="D43" i="1"/>
  <c r="S42" i="1"/>
  <c r="R42" i="1"/>
  <c r="Q42" i="1"/>
  <c r="P42" i="1"/>
  <c r="O42" i="1"/>
  <c r="N42" i="1"/>
  <c r="K42" i="1"/>
  <c r="J42" i="1"/>
  <c r="I42" i="1"/>
  <c r="H42" i="1"/>
  <c r="G42" i="1"/>
  <c r="F42" i="1"/>
  <c r="E42" i="1"/>
  <c r="D42" i="1"/>
  <c r="S41" i="1"/>
  <c r="R41" i="1"/>
  <c r="Q41" i="1"/>
  <c r="P41" i="1"/>
  <c r="O41" i="1"/>
  <c r="N41" i="1"/>
  <c r="K41" i="1"/>
  <c r="J41" i="1"/>
  <c r="I41" i="1"/>
  <c r="H41" i="1"/>
  <c r="G41" i="1"/>
  <c r="F41" i="1"/>
  <c r="E41" i="1"/>
  <c r="D41" i="1"/>
  <c r="S39" i="1"/>
  <c r="R39" i="1"/>
  <c r="Q39" i="1"/>
  <c r="P39" i="1"/>
  <c r="O39" i="1"/>
  <c r="N39" i="1"/>
  <c r="K39" i="1"/>
  <c r="J39" i="1"/>
  <c r="I39" i="1"/>
  <c r="H39" i="1"/>
  <c r="G39" i="1"/>
  <c r="F39" i="1"/>
  <c r="E39" i="1"/>
  <c r="D39" i="1"/>
  <c r="S38" i="1"/>
  <c r="R38" i="1"/>
  <c r="Q38" i="1"/>
  <c r="P38" i="1"/>
  <c r="O38" i="1"/>
  <c r="N38" i="1"/>
  <c r="K38" i="1"/>
  <c r="J38" i="1"/>
  <c r="I38" i="1"/>
  <c r="H38" i="1"/>
  <c r="G38" i="1"/>
  <c r="F38" i="1"/>
  <c r="E38" i="1"/>
  <c r="D38" i="1"/>
  <c r="S37" i="1"/>
  <c r="R37" i="1"/>
  <c r="Q37" i="1"/>
  <c r="P37" i="1"/>
  <c r="O37" i="1"/>
  <c r="N37" i="1"/>
  <c r="K37" i="1"/>
  <c r="J37" i="1"/>
  <c r="I37" i="1"/>
  <c r="H37" i="1"/>
  <c r="G37" i="1"/>
  <c r="F37" i="1"/>
  <c r="E37" i="1"/>
  <c r="D37" i="1"/>
  <c r="S36" i="1"/>
  <c r="R36" i="1"/>
  <c r="Q36" i="1"/>
  <c r="P36" i="1"/>
  <c r="O36" i="1"/>
  <c r="N36" i="1"/>
  <c r="K36" i="1"/>
  <c r="J36" i="1"/>
  <c r="I36" i="1"/>
  <c r="H36" i="1"/>
  <c r="G36" i="1"/>
  <c r="F36" i="1"/>
  <c r="E36" i="1"/>
  <c r="D36" i="1"/>
  <c r="S35" i="1"/>
  <c r="R35" i="1"/>
  <c r="Q35" i="1"/>
  <c r="P35" i="1"/>
  <c r="O35" i="1"/>
  <c r="N35" i="1"/>
  <c r="K35" i="1"/>
  <c r="J35" i="1"/>
  <c r="I35" i="1"/>
  <c r="H35" i="1"/>
  <c r="G35" i="1"/>
  <c r="F35" i="1"/>
  <c r="E35" i="1"/>
  <c r="D35" i="1"/>
  <c r="S34" i="1"/>
  <c r="R34" i="1"/>
  <c r="Q34" i="1"/>
  <c r="P34" i="1"/>
  <c r="O34" i="1"/>
  <c r="N34" i="1"/>
  <c r="K34" i="1"/>
  <c r="J34" i="1"/>
  <c r="I34" i="1"/>
  <c r="H34" i="1"/>
  <c r="G34" i="1"/>
  <c r="F34" i="1"/>
  <c r="E34" i="1"/>
  <c r="D34" i="1"/>
  <c r="S33" i="1"/>
  <c r="R33" i="1"/>
  <c r="Q33" i="1"/>
  <c r="P33" i="1"/>
  <c r="O33" i="1"/>
  <c r="N33" i="1"/>
  <c r="K33" i="1"/>
  <c r="J33" i="1"/>
  <c r="I33" i="1"/>
  <c r="H33" i="1"/>
  <c r="G33" i="1"/>
  <c r="F33" i="1"/>
  <c r="E33" i="1"/>
  <c r="D33" i="1"/>
  <c r="S32" i="1"/>
  <c r="R32" i="1"/>
  <c r="Q32" i="1"/>
  <c r="P32" i="1"/>
  <c r="O32" i="1"/>
  <c r="N32" i="1"/>
  <c r="K32" i="1"/>
  <c r="J32" i="1"/>
  <c r="I32" i="1"/>
  <c r="H32" i="1"/>
  <c r="G32" i="1"/>
  <c r="F32" i="1"/>
  <c r="E32" i="1"/>
  <c r="D32" i="1"/>
  <c r="S31" i="1"/>
  <c r="R31" i="1"/>
  <c r="Q31" i="1"/>
  <c r="P31" i="1"/>
  <c r="O31" i="1"/>
  <c r="N31" i="1"/>
  <c r="K31" i="1"/>
  <c r="J31" i="1"/>
  <c r="I31" i="1"/>
  <c r="H31" i="1"/>
  <c r="G31" i="1"/>
  <c r="F31" i="1"/>
  <c r="E31" i="1"/>
  <c r="D31" i="1"/>
  <c r="S30" i="1"/>
  <c r="R30" i="1"/>
  <c r="Q30" i="1"/>
  <c r="P30" i="1"/>
  <c r="O30" i="1"/>
  <c r="N30" i="1"/>
  <c r="K30" i="1"/>
  <c r="J30" i="1"/>
  <c r="I30" i="1"/>
  <c r="H30" i="1"/>
  <c r="G30" i="1"/>
  <c r="F30" i="1"/>
  <c r="E30" i="1"/>
  <c r="D30" i="1"/>
  <c r="S29" i="1"/>
  <c r="R29" i="1"/>
  <c r="Q29" i="1"/>
  <c r="P29" i="1"/>
  <c r="O29" i="1"/>
  <c r="N29" i="1"/>
  <c r="K29" i="1"/>
  <c r="J29" i="1"/>
  <c r="I29" i="1"/>
  <c r="H29" i="1"/>
  <c r="G29" i="1"/>
  <c r="F29" i="1"/>
  <c r="E29" i="1"/>
  <c r="D29" i="1"/>
  <c r="S28" i="1"/>
  <c r="R28" i="1"/>
  <c r="Q28" i="1"/>
  <c r="P28" i="1"/>
  <c r="O28" i="1"/>
  <c r="N28" i="1"/>
  <c r="K28" i="1"/>
  <c r="J28" i="1"/>
  <c r="I28" i="1"/>
  <c r="H28" i="1"/>
  <c r="G28" i="1"/>
  <c r="F28" i="1"/>
  <c r="E28" i="1"/>
  <c r="D28" i="1"/>
  <c r="S27" i="1"/>
  <c r="R27" i="1"/>
  <c r="Q27" i="1"/>
  <c r="P27" i="1"/>
  <c r="O27" i="1"/>
  <c r="N27" i="1"/>
  <c r="K27" i="1"/>
  <c r="J27" i="1"/>
  <c r="I27" i="1"/>
  <c r="H27" i="1"/>
  <c r="G27" i="1"/>
  <c r="F27" i="1"/>
  <c r="E27" i="1"/>
  <c r="D27" i="1"/>
  <c r="S26" i="1"/>
  <c r="R26" i="1"/>
  <c r="Q26" i="1"/>
  <c r="P26" i="1"/>
  <c r="O26" i="1"/>
  <c r="N26" i="1"/>
  <c r="K26" i="1"/>
  <c r="J26" i="1"/>
  <c r="I26" i="1"/>
  <c r="H26" i="1"/>
  <c r="G26" i="1"/>
  <c r="F26" i="1"/>
  <c r="E26" i="1"/>
  <c r="D26" i="1"/>
  <c r="S25" i="1"/>
  <c r="R25" i="1"/>
  <c r="Q25" i="1"/>
  <c r="P25" i="1"/>
  <c r="O25" i="1"/>
  <c r="N25" i="1"/>
  <c r="K25" i="1"/>
  <c r="J25" i="1"/>
  <c r="I25" i="1"/>
  <c r="H25" i="1"/>
  <c r="G25" i="1"/>
  <c r="F25" i="1"/>
  <c r="E25" i="1"/>
  <c r="D25" i="1"/>
  <c r="S24" i="1"/>
  <c r="R24" i="1"/>
  <c r="Q24" i="1"/>
  <c r="P24" i="1"/>
  <c r="O24" i="1"/>
  <c r="N24" i="1"/>
  <c r="K24" i="1"/>
  <c r="J24" i="1"/>
  <c r="I24" i="1"/>
  <c r="H24" i="1"/>
  <c r="G24" i="1"/>
  <c r="F24" i="1"/>
  <c r="E24" i="1"/>
  <c r="D24" i="1"/>
  <c r="S23" i="1"/>
  <c r="R23" i="1"/>
  <c r="Q23" i="1"/>
  <c r="P23" i="1"/>
  <c r="O23" i="1"/>
  <c r="N23" i="1"/>
  <c r="K23" i="1"/>
  <c r="J23" i="1"/>
  <c r="I23" i="1"/>
  <c r="H23" i="1"/>
  <c r="G23" i="1"/>
  <c r="F23" i="1"/>
  <c r="E23" i="1"/>
  <c r="D23" i="1"/>
  <c r="S22" i="1"/>
  <c r="R22" i="1"/>
  <c r="Q22" i="1"/>
  <c r="P22" i="1"/>
  <c r="O22" i="1"/>
  <c r="N22" i="1"/>
  <c r="K22" i="1"/>
  <c r="J22" i="1"/>
  <c r="I22" i="1"/>
  <c r="H22" i="1"/>
  <c r="G22" i="1"/>
  <c r="F22" i="1"/>
  <c r="E22" i="1"/>
  <c r="D22" i="1"/>
  <c r="S21" i="1"/>
  <c r="R21" i="1"/>
  <c r="Q21" i="1"/>
  <c r="P21" i="1"/>
  <c r="O21" i="1"/>
  <c r="N21" i="1"/>
  <c r="K21" i="1"/>
  <c r="J21" i="1"/>
  <c r="I21" i="1"/>
  <c r="H21" i="1"/>
  <c r="G21" i="1"/>
  <c r="F21" i="1"/>
  <c r="E21" i="1"/>
  <c r="D21" i="1"/>
  <c r="S20" i="1"/>
  <c r="R20" i="1"/>
  <c r="Q20" i="1"/>
  <c r="P20" i="1"/>
  <c r="O20" i="1"/>
  <c r="N20" i="1"/>
  <c r="K20" i="1"/>
  <c r="J20" i="1"/>
  <c r="I20" i="1"/>
  <c r="H20" i="1"/>
  <c r="G20" i="1"/>
  <c r="F20" i="1"/>
  <c r="E20" i="1"/>
  <c r="D20" i="1"/>
  <c r="S18" i="1"/>
  <c r="R18" i="1"/>
  <c r="Q18" i="1"/>
  <c r="P18" i="1"/>
  <c r="O18" i="1"/>
  <c r="N18" i="1"/>
  <c r="K18" i="1"/>
  <c r="J18" i="1"/>
  <c r="I18" i="1"/>
  <c r="H18" i="1"/>
  <c r="G18" i="1"/>
  <c r="F18" i="1"/>
  <c r="E18" i="1"/>
  <c r="D18" i="1"/>
  <c r="S17" i="1"/>
  <c r="R17" i="1"/>
  <c r="Q17" i="1"/>
  <c r="P17" i="1"/>
  <c r="O17" i="1"/>
  <c r="N17" i="1"/>
  <c r="K17" i="1"/>
  <c r="J17" i="1"/>
  <c r="I17" i="1"/>
  <c r="H17" i="1"/>
  <c r="G17" i="1"/>
  <c r="F17" i="1"/>
  <c r="E17" i="1"/>
  <c r="D17" i="1"/>
  <c r="S16" i="1"/>
  <c r="R16" i="1"/>
  <c r="Q16" i="1"/>
  <c r="P16" i="1"/>
  <c r="O16" i="1"/>
  <c r="N16" i="1"/>
  <c r="K16" i="1"/>
  <c r="J16" i="1"/>
  <c r="I16" i="1"/>
  <c r="H16" i="1"/>
  <c r="G16" i="1"/>
  <c r="F16" i="1"/>
  <c r="E16" i="1"/>
  <c r="D16" i="1"/>
  <c r="S15" i="1"/>
  <c r="R15" i="1"/>
  <c r="Q15" i="1"/>
  <c r="P15" i="1"/>
  <c r="O15" i="1"/>
  <c r="N15" i="1"/>
  <c r="K15" i="1"/>
  <c r="J15" i="1"/>
  <c r="I15" i="1"/>
  <c r="H15" i="1"/>
  <c r="G15" i="1"/>
  <c r="F15" i="1"/>
  <c r="E15" i="1"/>
  <c r="D15" i="1"/>
  <c r="S14" i="1"/>
  <c r="R14" i="1"/>
  <c r="Q14" i="1"/>
  <c r="P14" i="1"/>
  <c r="O14" i="1"/>
  <c r="N14" i="1"/>
  <c r="K14" i="1"/>
  <c r="J14" i="1"/>
  <c r="I14" i="1"/>
  <c r="H14" i="1"/>
  <c r="G14" i="1"/>
  <c r="F14" i="1"/>
  <c r="E14" i="1"/>
  <c r="D14" i="1"/>
  <c r="S13" i="1"/>
  <c r="R13" i="1"/>
  <c r="Q13" i="1"/>
  <c r="P13" i="1"/>
  <c r="O13" i="1"/>
  <c r="N13" i="1"/>
  <c r="K13" i="1"/>
  <c r="J13" i="1"/>
  <c r="I13" i="1"/>
  <c r="H13" i="1"/>
  <c r="G13" i="1"/>
  <c r="F13" i="1"/>
  <c r="E13" i="1"/>
  <c r="D13" i="1"/>
  <c r="S12" i="1"/>
  <c r="R12" i="1"/>
  <c r="Q12" i="1"/>
  <c r="P12" i="1"/>
  <c r="O12" i="1"/>
  <c r="N12" i="1"/>
  <c r="K12" i="1"/>
  <c r="J12" i="1"/>
  <c r="I12" i="1"/>
  <c r="H12" i="1"/>
  <c r="G12" i="1"/>
  <c r="F12" i="1"/>
  <c r="E12" i="1"/>
  <c r="D12" i="1"/>
  <c r="S11" i="1"/>
  <c r="R11" i="1"/>
  <c r="Q11" i="1"/>
  <c r="P11" i="1"/>
  <c r="O11" i="1"/>
  <c r="N11" i="1"/>
  <c r="K11" i="1"/>
  <c r="J11" i="1"/>
  <c r="I11" i="1"/>
  <c r="H11" i="1"/>
  <c r="G11" i="1"/>
  <c r="F11" i="1"/>
  <c r="E11" i="1"/>
  <c r="D11" i="1"/>
  <c r="S10" i="1"/>
  <c r="R10" i="1"/>
  <c r="Q10" i="1"/>
  <c r="P10" i="1"/>
  <c r="O10" i="1"/>
  <c r="N10" i="1"/>
  <c r="K10" i="1"/>
  <c r="J10" i="1"/>
  <c r="I10" i="1"/>
  <c r="H10" i="1"/>
  <c r="G10" i="1"/>
  <c r="F10" i="1"/>
  <c r="E10" i="1"/>
  <c r="D10" i="1"/>
  <c r="S9" i="1"/>
  <c r="R9" i="1"/>
  <c r="Q9" i="1"/>
  <c r="P9" i="1"/>
  <c r="O9" i="1"/>
  <c r="N9" i="1"/>
  <c r="K9" i="1"/>
  <c r="J9" i="1"/>
  <c r="I9" i="1"/>
  <c r="H9" i="1"/>
  <c r="G9" i="1"/>
  <c r="F9" i="1"/>
  <c r="E9" i="1"/>
  <c r="D9" i="1"/>
  <c r="S8" i="1"/>
  <c r="R8" i="1"/>
  <c r="Q8" i="1"/>
  <c r="P8" i="1"/>
  <c r="O8" i="1"/>
  <c r="N8" i="1"/>
  <c r="K8" i="1"/>
  <c r="J8" i="1"/>
  <c r="I8" i="1"/>
  <c r="H8" i="1"/>
  <c r="G8" i="1"/>
  <c r="F8" i="1"/>
  <c r="E8" i="1"/>
  <c r="D8" i="1"/>
  <c r="S7" i="1"/>
  <c r="R7" i="1"/>
  <c r="Q7" i="1"/>
  <c r="P7" i="1"/>
  <c r="O7" i="1"/>
  <c r="N7" i="1"/>
  <c r="K7" i="1"/>
  <c r="J7" i="1"/>
  <c r="I7" i="1"/>
  <c r="H7" i="1"/>
  <c r="G7" i="1"/>
  <c r="F7" i="1"/>
  <c r="E7" i="1"/>
  <c r="D7" i="1"/>
  <c r="H50" i="1" l="1"/>
  <c r="G50" i="1"/>
  <c r="I50" i="1"/>
  <c r="F50" i="1"/>
  <c r="J50" i="1"/>
  <c r="K50" i="1"/>
  <c r="O50" i="1"/>
  <c r="N50" i="1"/>
  <c r="S50" i="1"/>
  <c r="D50" i="1"/>
  <c r="P50" i="1"/>
  <c r="Q50" i="1"/>
  <c r="E50" i="1"/>
  <c r="R50" i="1"/>
</calcChain>
</file>

<file path=xl/sharedStrings.xml><?xml version="1.0" encoding="utf-8"?>
<sst xmlns="http://schemas.openxmlformats.org/spreadsheetml/2006/main" count="76" uniqueCount="56">
  <si>
    <t>Credit Card</t>
  </si>
  <si>
    <t>Debit Card</t>
  </si>
  <si>
    <t>Credit Cards</t>
  </si>
  <si>
    <t>Debit Cards</t>
  </si>
  <si>
    <t>Card Payments Transactions</t>
  </si>
  <si>
    <t>at PoS</t>
  </si>
  <si>
    <t>Online (e-com)</t>
  </si>
  <si>
    <t>Others</t>
  </si>
  <si>
    <t>Volume (in actuals)</t>
  </si>
  <si>
    <t>Value (in Rs'000)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</si>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</sst>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1">
    <xf numFmtId="0" fontId="0" fillId="0" borderId="0" xfId="0"/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left"/>
      <protection locked="0"/>
    </xf>
    <xf numFmtId="1" fontId="5" fillId="2" borderId="1" xfId="0" applyNumberFormat="1" applyFont="1" applyFill="1" applyBorder="1"/>
    <xf numFmtId="0" fontId="5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1" fontId="4" fillId="2" borderId="1" xfId="0" applyNumberFormat="1" applyFont="1" applyFill="1" applyBorder="1" applyAlignment="1">
      <alignment horizontal="right" vertical="center"/>
    </xf>
    <xf numFmtId="0" fontId="7" fillId="2" borderId="1" xfId="1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Protection="1">
      <protection locked="0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2" borderId="0" xfId="0" applyFont="1" applyFill="1" applyAlignment="1" applyProtection="1">
      <alignment horizontal="left"/>
      <protection locked="0"/>
    </xf>
    <xf numFmtId="1" fontId="4" fillId="2" borderId="1" xfId="0" applyNumberFormat="1" applyFont="1" applyFill="1" applyBorder="1"/>
    <xf numFmtId="1" fontId="5" fillId="2" borderId="0" xfId="0" applyNumberFormat="1" applyFont="1" applyFill="1"/>
    <xf numFmtId="1" fontId="4" fillId="2" borderId="0" xfId="0" applyNumberFormat="1" applyFont="1" applyFill="1"/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4" xfId="1" applyFont="1" applyFill="1" applyBorder="1" applyAlignment="1" applyProtection="1">
      <alignment horizontal="center" vertical="center"/>
      <protection locked="0"/>
    </xf>
    <xf numFmtId="0" fontId="3" fillId="2" borderId="5" xfId="1" applyFont="1" applyFill="1" applyBorder="1" applyAlignment="1" applyProtection="1">
      <alignment horizontal="center" vertical="center"/>
      <protection locked="0"/>
    </xf>
    <xf numFmtId="0" fontId="7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6" xfId="1" applyFont="1" applyFill="1" applyBorder="1" applyAlignment="1" applyProtection="1">
      <alignment horizontal="center" vertical="center"/>
      <protection locked="0"/>
    </xf>
    <xf numFmtId="0" fontId="3" fillId="2" borderId="7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BI\Card%20Statistics\Data\2022%20August\2022%20August%20Cards%20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im Data-Current Month"/>
      <sheetName val="Regular Data-Current Month"/>
      <sheetName val="Inconsistency"/>
      <sheetName val="Difference in %"/>
      <sheetName val="Difference in Actual"/>
      <sheetName val="Bankwise Variation"/>
      <sheetName val="Variation Table "/>
      <sheetName val="Bulletin Format"/>
      <sheetName val="For Website "/>
      <sheetName val="Bulletin Vs Website"/>
      <sheetName val="DPSS_CISBI"/>
      <sheetName val="Website M-O-M"/>
      <sheetName val="Interim Data-Previous Month"/>
      <sheetName val="For Website Previous Month"/>
    </sheetNames>
    <sheetDataSet>
      <sheetData sheetId="0" refreshError="1">
        <row r="7">
          <cell r="C7">
            <v>1428072</v>
          </cell>
          <cell r="D7">
            <v>76893503</v>
          </cell>
          <cell r="J7">
            <v>1768815</v>
          </cell>
          <cell r="K7">
            <v>5406644606</v>
          </cell>
          <cell r="L7">
            <v>1740382</v>
          </cell>
          <cell r="M7">
            <v>8280836949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T7">
            <v>7795514</v>
          </cell>
          <cell r="U7">
            <v>14280028582</v>
          </cell>
          <cell r="V7">
            <v>3752514</v>
          </cell>
          <cell r="W7">
            <v>6577446706</v>
          </cell>
          <cell r="X7">
            <v>9</v>
          </cell>
          <cell r="Y7">
            <v>28400</v>
          </cell>
          <cell r="Z7">
            <v>0</v>
          </cell>
          <cell r="AA7">
            <v>0</v>
          </cell>
        </row>
        <row r="8">
          <cell r="C8">
            <v>150601</v>
          </cell>
          <cell r="D8">
            <v>45494860</v>
          </cell>
          <cell r="J8">
            <v>151042</v>
          </cell>
          <cell r="K8">
            <v>497947833.48000002</v>
          </cell>
          <cell r="L8">
            <v>104820</v>
          </cell>
          <cell r="M8">
            <v>304069372.94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T8">
            <v>4897791</v>
          </cell>
          <cell r="U8">
            <v>8225722596.8999996</v>
          </cell>
          <cell r="V8">
            <v>2341569</v>
          </cell>
          <cell r="W8">
            <v>3254500077.4099998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C9">
            <v>76504</v>
          </cell>
          <cell r="D9">
            <v>12915821</v>
          </cell>
          <cell r="J9">
            <v>86079</v>
          </cell>
          <cell r="K9">
            <v>350761892.5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T9">
            <v>2343844</v>
          </cell>
          <cell r="U9">
            <v>3501658143.8099999</v>
          </cell>
          <cell r="V9">
            <v>955955</v>
          </cell>
          <cell r="W9">
            <v>1286687472.1800001</v>
          </cell>
          <cell r="X9">
            <v>8567</v>
          </cell>
          <cell r="Y9">
            <v>94084072.840000004</v>
          </cell>
          <cell r="Z9">
            <v>0</v>
          </cell>
          <cell r="AA9">
            <v>0</v>
          </cell>
        </row>
        <row r="10">
          <cell r="C10">
            <v>527272</v>
          </cell>
          <cell r="D10">
            <v>47715491</v>
          </cell>
          <cell r="J10">
            <v>680723</v>
          </cell>
          <cell r="K10">
            <v>1775318631.0900002</v>
          </cell>
          <cell r="L10">
            <v>298825</v>
          </cell>
          <cell r="M10">
            <v>1045190079.6900001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T10">
            <v>9614683</v>
          </cell>
          <cell r="U10">
            <v>19132177332.730003</v>
          </cell>
          <cell r="V10">
            <v>3643427</v>
          </cell>
          <cell r="W10">
            <v>6594791151.7999992</v>
          </cell>
          <cell r="X10">
            <v>4379</v>
          </cell>
          <cell r="Y10">
            <v>69357433</v>
          </cell>
          <cell r="Z10">
            <v>0</v>
          </cell>
          <cell r="AA10">
            <v>0</v>
          </cell>
        </row>
        <row r="11">
          <cell r="C11">
            <v>0</v>
          </cell>
          <cell r="D11">
            <v>27556286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T11">
            <v>2740197</v>
          </cell>
          <cell r="U11">
            <v>5530719926</v>
          </cell>
          <cell r="V11">
            <v>758067</v>
          </cell>
          <cell r="W11">
            <v>1367011672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C12">
            <v>163346</v>
          </cell>
          <cell r="D12">
            <v>28371703</v>
          </cell>
          <cell r="J12">
            <v>132517</v>
          </cell>
          <cell r="K12">
            <v>392800378</v>
          </cell>
          <cell r="L12">
            <v>69212</v>
          </cell>
          <cell r="M12">
            <v>315741940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T12">
            <v>5912361</v>
          </cell>
          <cell r="U12">
            <v>11008811019.08</v>
          </cell>
          <cell r="V12">
            <v>2685725</v>
          </cell>
          <cell r="W12">
            <v>4123347895</v>
          </cell>
          <cell r="X12">
            <v>5048</v>
          </cell>
          <cell r="Y12">
            <v>75390299.150000006</v>
          </cell>
          <cell r="Z12">
            <v>0</v>
          </cell>
          <cell r="AA12">
            <v>0</v>
          </cell>
        </row>
        <row r="13">
          <cell r="C13">
            <v>80651</v>
          </cell>
          <cell r="D13">
            <v>15263223</v>
          </cell>
          <cell r="J13">
            <v>65761</v>
          </cell>
          <cell r="K13">
            <v>159058248</v>
          </cell>
          <cell r="L13">
            <v>22073</v>
          </cell>
          <cell r="M13">
            <v>59982478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T13">
            <v>3779083</v>
          </cell>
          <cell r="U13">
            <v>6903129475.6099997</v>
          </cell>
          <cell r="V13">
            <v>1109388</v>
          </cell>
          <cell r="W13">
            <v>1835459823.25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C14">
            <v>0</v>
          </cell>
          <cell r="D14">
            <v>3540893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T14">
            <v>552844</v>
          </cell>
          <cell r="U14">
            <v>1127320673.1900001</v>
          </cell>
          <cell r="V14">
            <v>333136</v>
          </cell>
          <cell r="W14">
            <v>774272241.19000006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C15">
            <v>339352</v>
          </cell>
          <cell r="D15">
            <v>45499411</v>
          </cell>
          <cell r="J15">
            <v>470266</v>
          </cell>
          <cell r="K15">
            <v>1416237607.6800001</v>
          </cell>
          <cell r="L15">
            <v>179524</v>
          </cell>
          <cell r="M15">
            <v>610443158.91999996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T15">
            <v>7656358</v>
          </cell>
          <cell r="U15">
            <v>15432324735.219999</v>
          </cell>
          <cell r="V15">
            <v>4444680</v>
          </cell>
          <cell r="W15">
            <v>7744252011.1999998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C16">
            <v>14830926</v>
          </cell>
          <cell r="D16">
            <v>277159959</v>
          </cell>
          <cell r="J16">
            <v>24874157</v>
          </cell>
          <cell r="K16">
            <v>73273040262</v>
          </cell>
          <cell r="L16">
            <v>19272201</v>
          </cell>
          <cell r="M16">
            <v>122755468590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T16">
            <v>57842497</v>
          </cell>
          <cell r="U16">
            <v>113792383945.97</v>
          </cell>
          <cell r="V16">
            <v>27311820</v>
          </cell>
          <cell r="W16">
            <v>48475518832.779999</v>
          </cell>
          <cell r="X16">
            <v>0</v>
          </cell>
          <cell r="Y16">
            <v>0</v>
          </cell>
          <cell r="Z16">
            <v>1995</v>
          </cell>
          <cell r="AA16">
            <v>25212067</v>
          </cell>
        </row>
        <row r="17">
          <cell r="C17">
            <v>0</v>
          </cell>
          <cell r="D17">
            <v>11753993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T17">
            <v>2018089</v>
          </cell>
          <cell r="U17">
            <v>3742246831</v>
          </cell>
          <cell r="V17">
            <v>818529</v>
          </cell>
          <cell r="W17">
            <v>1451450555</v>
          </cell>
          <cell r="X17">
            <v>1155</v>
          </cell>
          <cell r="Y17">
            <v>16199839</v>
          </cell>
          <cell r="Z17">
            <v>0</v>
          </cell>
          <cell r="AA17">
            <v>0</v>
          </cell>
        </row>
        <row r="18">
          <cell r="C18">
            <v>563047</v>
          </cell>
          <cell r="D18">
            <v>49647373</v>
          </cell>
          <cell r="J18">
            <v>506381</v>
          </cell>
          <cell r="K18">
            <v>1560303486.3499999</v>
          </cell>
          <cell r="L18">
            <v>265760</v>
          </cell>
          <cell r="M18">
            <v>1014019879.3200001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T18">
            <v>10277219</v>
          </cell>
          <cell r="U18">
            <v>17543980666</v>
          </cell>
          <cell r="V18">
            <v>6236821</v>
          </cell>
          <cell r="W18">
            <v>10004856932</v>
          </cell>
          <cell r="X18">
            <v>3302</v>
          </cell>
          <cell r="Y18">
            <v>12534436.16</v>
          </cell>
          <cell r="Z18">
            <v>0</v>
          </cell>
          <cell r="AA18">
            <v>0</v>
          </cell>
        </row>
        <row r="19">
          <cell r="C19">
            <v>8879353</v>
          </cell>
          <cell r="D19">
            <v>28975119</v>
          </cell>
          <cell r="J19">
            <v>17689105</v>
          </cell>
          <cell r="K19">
            <v>50535667403</v>
          </cell>
          <cell r="L19">
            <v>11713077</v>
          </cell>
          <cell r="M19">
            <v>52678106329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T19">
            <v>11841298</v>
          </cell>
          <cell r="U19">
            <v>26026183836</v>
          </cell>
          <cell r="V19">
            <v>5452481</v>
          </cell>
          <cell r="W19">
            <v>16299792955</v>
          </cell>
          <cell r="X19">
            <v>20135</v>
          </cell>
          <cell r="Y19">
            <v>485373553.48000002</v>
          </cell>
          <cell r="Z19">
            <v>0</v>
          </cell>
          <cell r="AA19">
            <v>0</v>
          </cell>
        </row>
        <row r="20">
          <cell r="C20">
            <v>0</v>
          </cell>
          <cell r="D20">
            <v>5200062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T20">
            <v>553270</v>
          </cell>
          <cell r="U20">
            <v>1254067297.4699998</v>
          </cell>
          <cell r="V20">
            <v>273819</v>
          </cell>
          <cell r="W20">
            <v>701250294.8900001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C21">
            <v>1644</v>
          </cell>
          <cell r="D21">
            <v>2622921</v>
          </cell>
          <cell r="J21">
            <v>1611</v>
          </cell>
          <cell r="K21">
            <v>3458922.33</v>
          </cell>
          <cell r="L21">
            <v>306</v>
          </cell>
          <cell r="M21">
            <v>843033.01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T21">
            <v>938013</v>
          </cell>
          <cell r="U21">
            <v>1814139980.0699999</v>
          </cell>
          <cell r="V21">
            <v>180523</v>
          </cell>
          <cell r="W21">
            <v>323391017.79000002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C22">
            <v>0</v>
          </cell>
          <cell r="D22">
            <v>831219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T22">
            <v>265347</v>
          </cell>
          <cell r="U22">
            <v>476078692.39999998</v>
          </cell>
          <cell r="V22">
            <v>47706</v>
          </cell>
          <cell r="W22">
            <v>89804872.090000004</v>
          </cell>
          <cell r="X22">
            <v>14</v>
          </cell>
          <cell r="Y22">
            <v>120358</v>
          </cell>
          <cell r="Z22">
            <v>0</v>
          </cell>
          <cell r="AA22">
            <v>0</v>
          </cell>
        </row>
        <row r="23">
          <cell r="C23">
            <v>3382</v>
          </cell>
          <cell r="D23">
            <v>914406</v>
          </cell>
          <cell r="J23">
            <v>5329</v>
          </cell>
          <cell r="K23">
            <v>13046426</v>
          </cell>
          <cell r="L23">
            <v>1493</v>
          </cell>
          <cell r="M23">
            <v>5893783.5800000001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T23">
            <v>289092</v>
          </cell>
          <cell r="U23">
            <v>567334351</v>
          </cell>
          <cell r="V23">
            <v>45740</v>
          </cell>
          <cell r="W23">
            <v>158719788.16999999</v>
          </cell>
          <cell r="X23">
            <v>0</v>
          </cell>
          <cell r="Y23">
            <v>0</v>
          </cell>
          <cell r="Z23">
            <v>453</v>
          </cell>
          <cell r="AA23">
            <v>17528654</v>
          </cell>
        </row>
        <row r="24">
          <cell r="C24">
            <v>7760</v>
          </cell>
          <cell r="D24">
            <v>518391</v>
          </cell>
          <cell r="J24">
            <v>20165</v>
          </cell>
          <cell r="K24">
            <v>43557592.210000001</v>
          </cell>
          <cell r="L24">
            <v>5457</v>
          </cell>
          <cell r="M24">
            <v>17325953.010000002</v>
          </cell>
          <cell r="N24">
            <v>0</v>
          </cell>
          <cell r="O24">
            <v>0</v>
          </cell>
          <cell r="P24">
            <v>3</v>
          </cell>
          <cell r="Q24">
            <v>53020.63</v>
          </cell>
          <cell r="T24">
            <v>273101</v>
          </cell>
          <cell r="U24">
            <v>450084146.48000002</v>
          </cell>
          <cell r="V24">
            <v>36181</v>
          </cell>
          <cell r="W24">
            <v>75753437.459999993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C25">
            <v>297437</v>
          </cell>
          <cell r="D25">
            <v>12559380</v>
          </cell>
          <cell r="J25">
            <v>689121</v>
          </cell>
          <cell r="K25">
            <v>2135237453</v>
          </cell>
          <cell r="L25">
            <v>659639</v>
          </cell>
          <cell r="M25">
            <v>3466844497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T25">
            <v>5632127</v>
          </cell>
          <cell r="U25">
            <v>10277720577</v>
          </cell>
          <cell r="V25">
            <v>2204953</v>
          </cell>
          <cell r="W25">
            <v>5128946599</v>
          </cell>
          <cell r="X25">
            <v>2167</v>
          </cell>
          <cell r="Y25">
            <v>25908581</v>
          </cell>
          <cell r="Z25">
            <v>0</v>
          </cell>
          <cell r="AA25">
            <v>0</v>
          </cell>
        </row>
        <row r="26">
          <cell r="C26">
            <v>16428971</v>
          </cell>
          <cell r="D26">
            <v>46582533</v>
          </cell>
          <cell r="J26">
            <v>32595041</v>
          </cell>
          <cell r="K26">
            <v>122873654011</v>
          </cell>
          <cell r="L26">
            <v>28606021</v>
          </cell>
          <cell r="M26">
            <v>201431280678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T26">
            <v>24262461</v>
          </cell>
          <cell r="U26">
            <v>56484724395</v>
          </cell>
          <cell r="V26">
            <v>16553392</v>
          </cell>
          <cell r="W26">
            <v>43088638217</v>
          </cell>
          <cell r="X26">
            <v>0</v>
          </cell>
          <cell r="Y26">
            <v>0</v>
          </cell>
          <cell r="Z26">
            <v>551589</v>
          </cell>
          <cell r="AA26">
            <v>3156926837</v>
          </cell>
        </row>
        <row r="27">
          <cell r="C27">
            <v>13937013</v>
          </cell>
          <cell r="D27">
            <v>35594187</v>
          </cell>
          <cell r="J27">
            <v>23681939</v>
          </cell>
          <cell r="K27">
            <v>85946749747</v>
          </cell>
          <cell r="L27">
            <v>22695833</v>
          </cell>
          <cell r="M27">
            <v>114759019641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T27">
            <v>16447131</v>
          </cell>
          <cell r="U27">
            <v>40629267200</v>
          </cell>
          <cell r="V27">
            <v>6494338</v>
          </cell>
          <cell r="W27">
            <v>22719151457</v>
          </cell>
          <cell r="X27">
            <v>0</v>
          </cell>
          <cell r="Y27">
            <v>0</v>
          </cell>
          <cell r="Z27">
            <v>20148</v>
          </cell>
          <cell r="AA27">
            <v>195125818</v>
          </cell>
        </row>
        <row r="28">
          <cell r="C28">
            <v>42743</v>
          </cell>
          <cell r="D28">
            <v>12725526</v>
          </cell>
          <cell r="J28">
            <v>77889</v>
          </cell>
          <cell r="K28">
            <v>234485516.90000001</v>
          </cell>
          <cell r="L28">
            <v>49836</v>
          </cell>
          <cell r="M28">
            <v>173280029.30000001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T28">
            <v>2605827</v>
          </cell>
          <cell r="U28">
            <v>4937158071.1300049</v>
          </cell>
          <cell r="V28">
            <v>745658</v>
          </cell>
          <cell r="W28">
            <v>1470743563.4199951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C29">
            <v>1113545</v>
          </cell>
          <cell r="D29">
            <v>4785111</v>
          </cell>
          <cell r="J29">
            <v>1677973</v>
          </cell>
          <cell r="K29">
            <v>5545746663.4799995</v>
          </cell>
          <cell r="L29">
            <v>1348715</v>
          </cell>
          <cell r="M29">
            <v>8608663857.1800003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T29">
            <v>1423273</v>
          </cell>
          <cell r="U29">
            <v>2181623033</v>
          </cell>
          <cell r="V29">
            <v>435684</v>
          </cell>
          <cell r="W29">
            <v>1458685671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C30">
            <v>1869104</v>
          </cell>
          <cell r="D30">
            <v>7543316</v>
          </cell>
          <cell r="J30">
            <v>2578264</v>
          </cell>
          <cell r="K30">
            <v>10898945258</v>
          </cell>
          <cell r="L30">
            <v>2671862</v>
          </cell>
          <cell r="M30">
            <v>36800265977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T30">
            <v>1639256</v>
          </cell>
          <cell r="U30">
            <v>3396672673</v>
          </cell>
          <cell r="V30">
            <v>982947</v>
          </cell>
          <cell r="W30">
            <v>3029094429</v>
          </cell>
          <cell r="X30">
            <v>0</v>
          </cell>
          <cell r="Y30">
            <v>0</v>
          </cell>
          <cell r="Z30">
            <v>962</v>
          </cell>
          <cell r="AA30">
            <v>55860756.299999997</v>
          </cell>
        </row>
        <row r="31">
          <cell r="C31">
            <v>81315</v>
          </cell>
          <cell r="D31">
            <v>3623676</v>
          </cell>
          <cell r="J31">
            <v>128776</v>
          </cell>
          <cell r="K31">
            <v>811890627.13999999</v>
          </cell>
          <cell r="L31">
            <v>113216</v>
          </cell>
          <cell r="M31">
            <v>287369956.25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T31">
            <v>1136913</v>
          </cell>
          <cell r="U31">
            <v>2573089155.3299999</v>
          </cell>
          <cell r="V31">
            <v>3390549</v>
          </cell>
          <cell r="W31">
            <v>1477630880.24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C32">
            <v>0</v>
          </cell>
          <cell r="D32">
            <v>5196347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T32">
            <v>1864590</v>
          </cell>
          <cell r="U32">
            <v>2666638062.2399998</v>
          </cell>
          <cell r="V32">
            <v>336545</v>
          </cell>
          <cell r="W32">
            <v>562606376.82000005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C33">
            <v>9934</v>
          </cell>
          <cell r="D33">
            <v>3957336</v>
          </cell>
          <cell r="J33">
            <v>20274</v>
          </cell>
          <cell r="K33">
            <v>117029259.5</v>
          </cell>
          <cell r="L33">
            <v>5984</v>
          </cell>
          <cell r="M33">
            <v>65753843.32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T33">
            <v>1986944</v>
          </cell>
          <cell r="U33">
            <v>4098996860</v>
          </cell>
          <cell r="V33">
            <v>397820</v>
          </cell>
          <cell r="W33">
            <v>1088506442</v>
          </cell>
          <cell r="X33">
            <v>10171</v>
          </cell>
          <cell r="Y33">
            <v>218365855</v>
          </cell>
          <cell r="Z33">
            <v>0</v>
          </cell>
          <cell r="AA33">
            <v>0</v>
          </cell>
        </row>
        <row r="34">
          <cell r="C34">
            <v>4107595</v>
          </cell>
          <cell r="D34">
            <v>25526683</v>
          </cell>
          <cell r="J34">
            <v>4737029</v>
          </cell>
          <cell r="K34">
            <v>15075331342</v>
          </cell>
          <cell r="L34">
            <v>3832617</v>
          </cell>
          <cell r="M34">
            <v>23021366900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5034956</v>
          </cell>
          <cell r="U34">
            <v>9144963263</v>
          </cell>
          <cell r="V34">
            <v>3802259</v>
          </cell>
          <cell r="W34">
            <v>8643113989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5">
          <cell r="C35">
            <v>4044789</v>
          </cell>
          <cell r="D35">
            <v>1432029</v>
          </cell>
          <cell r="J35">
            <v>6038326</v>
          </cell>
          <cell r="K35">
            <v>21665725497</v>
          </cell>
          <cell r="L35">
            <v>4076781</v>
          </cell>
          <cell r="M35">
            <v>24870439648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T35">
            <v>312464</v>
          </cell>
          <cell r="U35">
            <v>611480586.89999998</v>
          </cell>
          <cell r="V35">
            <v>143706</v>
          </cell>
          <cell r="W35">
            <v>440062073.80000001</v>
          </cell>
          <cell r="X35">
            <v>0</v>
          </cell>
          <cell r="Y35">
            <v>0</v>
          </cell>
          <cell r="Z35">
            <v>128</v>
          </cell>
          <cell r="AA35">
            <v>5777047.9699999997</v>
          </cell>
        </row>
        <row r="36">
          <cell r="C36">
            <v>128960</v>
          </cell>
          <cell r="D36">
            <v>3646976</v>
          </cell>
          <cell r="J36">
            <v>350957</v>
          </cell>
          <cell r="K36">
            <v>1076770056</v>
          </cell>
          <cell r="L36">
            <v>319554</v>
          </cell>
          <cell r="M36">
            <v>1816907624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T36">
            <v>1979183</v>
          </cell>
          <cell r="U36">
            <v>3708492633</v>
          </cell>
          <cell r="V36">
            <v>405185</v>
          </cell>
          <cell r="W36">
            <v>1010768205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C37">
            <v>40979</v>
          </cell>
          <cell r="D37">
            <v>2105582</v>
          </cell>
          <cell r="J37">
            <v>50184</v>
          </cell>
          <cell r="K37">
            <v>212433287</v>
          </cell>
          <cell r="L37">
            <v>21084</v>
          </cell>
          <cell r="M37">
            <v>106147304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497077</v>
          </cell>
          <cell r="U37">
            <v>1088680456.21</v>
          </cell>
          <cell r="V37">
            <v>134404</v>
          </cell>
          <cell r="W37">
            <v>225927869.25999999</v>
          </cell>
          <cell r="X37">
            <v>125</v>
          </cell>
          <cell r="Y37">
            <v>356437</v>
          </cell>
          <cell r="Z37">
            <v>0</v>
          </cell>
          <cell r="AA37">
            <v>0</v>
          </cell>
        </row>
        <row r="38">
          <cell r="C38">
            <v>1246243</v>
          </cell>
          <cell r="D38">
            <v>4046276</v>
          </cell>
          <cell r="J38">
            <v>1758113</v>
          </cell>
          <cell r="K38">
            <v>5155611856.6000004</v>
          </cell>
          <cell r="L38">
            <v>1074701</v>
          </cell>
          <cell r="M38">
            <v>6975967942.9399996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T38">
            <v>1286833</v>
          </cell>
          <cell r="U38">
            <v>2454511875.9699998</v>
          </cell>
          <cell r="V38">
            <v>670589</v>
          </cell>
          <cell r="W38">
            <v>1584327510.74</v>
          </cell>
          <cell r="X38">
            <v>0</v>
          </cell>
          <cell r="Y38">
            <v>0</v>
          </cell>
          <cell r="Z38">
            <v>53</v>
          </cell>
          <cell r="AA38">
            <v>837381</v>
          </cell>
        </row>
        <row r="39">
          <cell r="C39">
            <v>1353402</v>
          </cell>
          <cell r="D39">
            <v>0</v>
          </cell>
          <cell r="J39">
            <v>966362</v>
          </cell>
          <cell r="K39">
            <v>7054444916</v>
          </cell>
          <cell r="L39">
            <v>3218916</v>
          </cell>
          <cell r="M39">
            <v>23895948094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C40">
            <v>19589</v>
          </cell>
          <cell r="D40">
            <v>0</v>
          </cell>
          <cell r="J40">
            <v>26838</v>
          </cell>
          <cell r="K40">
            <v>117216019.37</v>
          </cell>
          <cell r="L40">
            <v>13693</v>
          </cell>
          <cell r="M40">
            <v>185893228.93000001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C41">
            <v>0</v>
          </cell>
          <cell r="D41">
            <v>1650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T41">
            <v>25</v>
          </cell>
          <cell r="U41">
            <v>248193</v>
          </cell>
          <cell r="V41">
            <v>8</v>
          </cell>
          <cell r="W41">
            <v>3051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C42">
            <v>2561253</v>
          </cell>
          <cell r="D42">
            <v>1331815</v>
          </cell>
          <cell r="J42">
            <v>7770130</v>
          </cell>
          <cell r="K42">
            <v>21286154688.767086</v>
          </cell>
          <cell r="L42">
            <v>5206147</v>
          </cell>
          <cell r="M42">
            <v>21726056432.522854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995684</v>
          </cell>
          <cell r="U42">
            <v>2466309665.1999993</v>
          </cell>
          <cell r="V42">
            <v>1005905</v>
          </cell>
          <cell r="W42">
            <v>2823867480.7699995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3">
          <cell r="C43">
            <v>52882</v>
          </cell>
          <cell r="D43">
            <v>1977414</v>
          </cell>
          <cell r="J43">
            <v>56572</v>
          </cell>
          <cell r="K43">
            <v>185644271.87</v>
          </cell>
          <cell r="L43">
            <v>42323</v>
          </cell>
          <cell r="M43">
            <v>298853697.74000001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617754</v>
          </cell>
          <cell r="U43">
            <v>935612477.79999995</v>
          </cell>
          <cell r="V43">
            <v>257745</v>
          </cell>
          <cell r="W43">
            <v>458512300.20999998</v>
          </cell>
          <cell r="X43">
            <v>467</v>
          </cell>
          <cell r="Y43">
            <v>6716168</v>
          </cell>
          <cell r="Z43">
            <v>0</v>
          </cell>
          <cell r="AA43">
            <v>0</v>
          </cell>
        </row>
        <row r="44">
          <cell r="C44">
            <v>0</v>
          </cell>
          <cell r="D44">
            <v>118747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T44">
            <v>71832</v>
          </cell>
          <cell r="U44">
            <v>167464090.28999999</v>
          </cell>
          <cell r="V44">
            <v>19361</v>
          </cell>
          <cell r="W44">
            <v>64186090.079999998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C45">
            <v>765095</v>
          </cell>
          <cell r="D45">
            <v>537794</v>
          </cell>
          <cell r="J45">
            <v>611280</v>
          </cell>
          <cell r="K45">
            <v>3744955393.6199999</v>
          </cell>
          <cell r="L45">
            <v>1110080</v>
          </cell>
          <cell r="M45">
            <v>3791691340.6999998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T45">
            <v>374794</v>
          </cell>
          <cell r="U45">
            <v>1110611764.4100001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C46">
            <v>1222172</v>
          </cell>
          <cell r="D46">
            <v>248119</v>
          </cell>
          <cell r="J46">
            <v>458298</v>
          </cell>
          <cell r="K46">
            <v>2042887764.8625526</v>
          </cell>
          <cell r="L46">
            <v>1185280</v>
          </cell>
          <cell r="M46">
            <v>5734958281.8376465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T46">
            <v>10088.5</v>
          </cell>
          <cell r="U46">
            <v>27026532.697500002</v>
          </cell>
          <cell r="V46">
            <v>28920.5</v>
          </cell>
          <cell r="W46">
            <v>77236610.182500005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>
            <v>1319608</v>
          </cell>
          <cell r="D47">
            <v>1167038</v>
          </cell>
          <cell r="J47">
            <v>1880615</v>
          </cell>
          <cell r="K47">
            <v>5597285664</v>
          </cell>
          <cell r="L47">
            <v>1404190</v>
          </cell>
          <cell r="M47">
            <v>6437526925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T47">
            <v>939559</v>
          </cell>
          <cell r="U47">
            <v>2289915765</v>
          </cell>
          <cell r="V47">
            <v>424743</v>
          </cell>
          <cell r="W47">
            <v>895438095</v>
          </cell>
          <cell r="X47">
            <v>30</v>
          </cell>
          <cell r="Y47">
            <v>532306</v>
          </cell>
          <cell r="Z47">
            <v>0</v>
          </cell>
          <cell r="AA4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2:U51"/>
  <sheetViews>
    <sheetView tabSelected="1" topLeftCell="A37" workbookViewId="0">
      <selection activeCell="N3" sqref="N3:U3"/>
    </sheetView>
  </sheetViews>
  <sheetFormatPr defaultColWidth="9.109375" defaultRowHeight="13.2" x14ac:dyDescent="0.25"/>
  <cols>
    <col min="1" max="1" width="4.33203125" style="11" customWidth="1"/>
    <col min="2" max="2" width="8.6640625" style="12" customWidth="1"/>
    <col min="3" max="3" width="39.5546875" style="12" customWidth="1"/>
    <col min="4" max="4" width="11" style="12" customWidth="1"/>
    <col min="5" max="5" width="10.6640625" style="12" customWidth="1"/>
    <col min="6" max="6" width="10.33203125" style="12" bestFit="1" customWidth="1"/>
    <col min="7" max="7" width="12" style="12" bestFit="1" customWidth="1"/>
    <col min="8" max="8" width="10" style="12" bestFit="1" customWidth="1"/>
    <col min="9" max="9" width="12" style="12" bestFit="1" customWidth="1"/>
    <col min="10" max="10" width="10.6640625" style="12" customWidth="1"/>
    <col min="11" max="11" width="10" style="12" bestFit="1" customWidth="1"/>
    <col min="12" max="12" width="10" style="12" customWidth="1"/>
    <col min="13" max="13" width="12.5546875" style="12" customWidth="1"/>
    <col min="14" max="14" width="10" style="12" bestFit="1" customWidth="1"/>
    <col min="15" max="15" width="12" style="12" bestFit="1" customWidth="1"/>
    <col min="16" max="16" width="10" style="12" bestFit="1" customWidth="1"/>
    <col min="17" max="17" width="12" style="12" bestFit="1" customWidth="1"/>
    <col min="18" max="18" width="10.88671875" style="12" customWidth="1"/>
    <col min="19" max="19" width="12" style="12" bestFit="1" customWidth="1"/>
    <col min="20" max="21" width="12.33203125" style="12" customWidth="1"/>
    <col min="22" max="16384" width="9.109375" style="12"/>
  </cols>
  <sheetData>
    <row r="2" spans="1:21" x14ac:dyDescent="0.25">
      <c r="B2" s="21"/>
      <c r="C2" s="21"/>
      <c r="D2" s="22"/>
      <c r="E2" s="22"/>
      <c r="F2" s="25" t="s">
        <v>0</v>
      </c>
      <c r="G2" s="28"/>
      <c r="H2" s="28"/>
      <c r="I2" s="28"/>
      <c r="J2" s="28"/>
      <c r="K2" s="28"/>
      <c r="L2" s="28"/>
      <c r="M2" s="26"/>
      <c r="N2" s="29" t="s">
        <v>1</v>
      </c>
      <c r="O2" s="30"/>
      <c r="P2" s="30"/>
      <c r="Q2" s="30"/>
      <c r="R2" s="30"/>
      <c r="S2" s="30"/>
      <c r="T2" s="30"/>
      <c r="U2" s="30"/>
    </row>
    <row r="3" spans="1:21" x14ac:dyDescent="0.25">
      <c r="B3" s="21"/>
      <c r="C3" s="21"/>
      <c r="D3" s="22" t="s">
        <v>2</v>
      </c>
      <c r="E3" s="22" t="s">
        <v>3</v>
      </c>
      <c r="F3" s="25" t="s">
        <v>4</v>
      </c>
      <c r="G3" s="28"/>
      <c r="H3" s="28"/>
      <c r="I3" s="28"/>
      <c r="J3" s="28"/>
      <c r="K3" s="28"/>
      <c r="L3" s="28"/>
      <c r="M3" s="26"/>
      <c r="N3" s="29" t="s">
        <v>4</v>
      </c>
      <c r="O3" s="30"/>
      <c r="P3" s="30"/>
      <c r="Q3" s="30"/>
      <c r="R3" s="30"/>
      <c r="S3" s="30"/>
      <c r="T3" s="30"/>
      <c r="U3" s="30"/>
    </row>
    <row r="4" spans="1:21" x14ac:dyDescent="0.25">
      <c r="B4" s="21"/>
      <c r="C4" s="21"/>
      <c r="D4" s="22"/>
      <c r="E4" s="22"/>
      <c r="F4" s="22" t="s">
        <v>5</v>
      </c>
      <c r="G4" s="22"/>
      <c r="H4" s="22" t="s">
        <v>6</v>
      </c>
      <c r="I4" s="22"/>
      <c r="J4" s="21" t="s">
        <v>7</v>
      </c>
      <c r="K4" s="21"/>
      <c r="L4" s="25" t="s">
        <v>55</v>
      </c>
      <c r="M4" s="26"/>
      <c r="N4" s="22" t="s">
        <v>5</v>
      </c>
      <c r="O4" s="22"/>
      <c r="P4" s="22" t="s">
        <v>6</v>
      </c>
      <c r="Q4" s="22"/>
      <c r="R4" s="21" t="s">
        <v>7</v>
      </c>
      <c r="S4" s="21"/>
      <c r="T4" s="23" t="s">
        <v>55</v>
      </c>
      <c r="U4" s="24"/>
    </row>
    <row r="5" spans="1:21" s="14" customFormat="1" ht="39.6" x14ac:dyDescent="0.3">
      <c r="A5" s="13"/>
      <c r="B5" s="21"/>
      <c r="C5" s="21"/>
      <c r="D5" s="22"/>
      <c r="E5" s="22"/>
      <c r="F5" s="9" t="s">
        <v>8</v>
      </c>
      <c r="G5" s="9" t="s">
        <v>9</v>
      </c>
      <c r="H5" s="9" t="s">
        <v>8</v>
      </c>
      <c r="I5" s="9" t="s">
        <v>9</v>
      </c>
      <c r="J5" s="9" t="s">
        <v>8</v>
      </c>
      <c r="K5" s="9" t="s">
        <v>9</v>
      </c>
      <c r="L5" s="9" t="s">
        <v>8</v>
      </c>
      <c r="M5" s="9" t="s">
        <v>9</v>
      </c>
      <c r="N5" s="9" t="s">
        <v>8</v>
      </c>
      <c r="O5" s="9" t="s">
        <v>9</v>
      </c>
      <c r="P5" s="9" t="s">
        <v>8</v>
      </c>
      <c r="Q5" s="9" t="s">
        <v>9</v>
      </c>
      <c r="R5" s="9" t="s">
        <v>8</v>
      </c>
      <c r="S5" s="9" t="s">
        <v>9</v>
      </c>
      <c r="T5" s="9" t="s">
        <v>8</v>
      </c>
      <c r="U5" s="9" t="s">
        <v>9</v>
      </c>
    </row>
    <row r="6" spans="1:21" x14ac:dyDescent="0.25">
      <c r="B6" s="5" t="s">
        <v>10</v>
      </c>
      <c r="C6" s="1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21" x14ac:dyDescent="0.25">
      <c r="B7" s="8">
        <v>1</v>
      </c>
      <c r="C7" s="2" t="s">
        <v>11</v>
      </c>
      <c r="D7" s="3">
        <f>'[1]Interim Data-Current Month'!C7</f>
        <v>1428072</v>
      </c>
      <c r="E7" s="3">
        <f>'[1]Interim Data-Current Month'!D7</f>
        <v>76893503</v>
      </c>
      <c r="F7" s="3">
        <f>'[1]Interim Data-Current Month'!J7</f>
        <v>1768815</v>
      </c>
      <c r="G7" s="3">
        <f>'[1]Interim Data-Current Month'!K7/1000</f>
        <v>5406644.6059999997</v>
      </c>
      <c r="H7" s="3">
        <f>'[1]Interim Data-Current Month'!L7</f>
        <v>1740382</v>
      </c>
      <c r="I7" s="3">
        <f>'[1]Interim Data-Current Month'!M7/1000</f>
        <v>8280836.949</v>
      </c>
      <c r="J7" s="3">
        <f>'[1]Interim Data-Current Month'!N7+'[1]Interim Data-Current Month'!P7</f>
        <v>0</v>
      </c>
      <c r="K7" s="3">
        <f>'[1]Interim Data-Current Month'!O7/1000+'[1]Interim Data-Current Month'!Q7/1000</f>
        <v>0</v>
      </c>
      <c r="L7" s="3">
        <f>F7+H7+J7</f>
        <v>3509197</v>
      </c>
      <c r="M7" s="3">
        <f>G7+I7+K7</f>
        <v>13687481.555</v>
      </c>
      <c r="N7" s="3">
        <f>'[1]Interim Data-Current Month'!T7</f>
        <v>7795514</v>
      </c>
      <c r="O7" s="3">
        <f>'[1]Interim Data-Current Month'!U7/1000</f>
        <v>14280028.582</v>
      </c>
      <c r="P7" s="3">
        <f>'[1]Interim Data-Current Month'!V7</f>
        <v>3752514</v>
      </c>
      <c r="Q7" s="3">
        <f>'[1]Interim Data-Current Month'!W7/1000</f>
        <v>6577446.7060000002</v>
      </c>
      <c r="R7" s="3">
        <f>'[1]Interim Data-Current Month'!X7+'[1]Interim Data-Current Month'!Z7</f>
        <v>9</v>
      </c>
      <c r="S7" s="3">
        <f>'[1]Interim Data-Current Month'!Y7/1000+'[1]Interim Data-Current Month'!AA7/1000</f>
        <v>28.4</v>
      </c>
      <c r="T7" s="19">
        <f>R7+P7+N7</f>
        <v>11548037</v>
      </c>
      <c r="U7" s="19">
        <f>S7+Q7+O7</f>
        <v>20857503.688000001</v>
      </c>
    </row>
    <row r="8" spans="1:21" x14ac:dyDescent="0.25">
      <c r="B8" s="8">
        <v>2</v>
      </c>
      <c r="C8" s="2" t="s">
        <v>12</v>
      </c>
      <c r="D8" s="3">
        <f>'[1]Interim Data-Current Month'!C8</f>
        <v>150601</v>
      </c>
      <c r="E8" s="3">
        <f>'[1]Interim Data-Current Month'!D8</f>
        <v>45494860</v>
      </c>
      <c r="F8" s="3">
        <f>'[1]Interim Data-Current Month'!J8</f>
        <v>151042</v>
      </c>
      <c r="G8" s="3">
        <f>'[1]Interim Data-Current Month'!K8/1000</f>
        <v>497947.83348000003</v>
      </c>
      <c r="H8" s="3">
        <f>'[1]Interim Data-Current Month'!L8</f>
        <v>104820</v>
      </c>
      <c r="I8" s="3">
        <f>'[1]Interim Data-Current Month'!M8/1000</f>
        <v>304069.37293999997</v>
      </c>
      <c r="J8" s="3">
        <f>'[1]Interim Data-Current Month'!N8+'[1]Interim Data-Current Month'!P8</f>
        <v>0</v>
      </c>
      <c r="K8" s="3">
        <f>'[1]Interim Data-Current Month'!O8/1000+'[1]Interim Data-Current Month'!Q8/1000</f>
        <v>0</v>
      </c>
      <c r="L8" s="3">
        <f t="shared" ref="L8:L50" si="0">F8+H8+J8</f>
        <v>255862</v>
      </c>
      <c r="M8" s="3">
        <f t="shared" ref="M8:M50" si="1">G8+I8+K8</f>
        <v>802017.20641999994</v>
      </c>
      <c r="N8" s="3">
        <f>'[1]Interim Data-Current Month'!T8</f>
        <v>4897791</v>
      </c>
      <c r="O8" s="3">
        <f>'[1]Interim Data-Current Month'!U8/1000</f>
        <v>8225722.5968999993</v>
      </c>
      <c r="P8" s="3">
        <f>'[1]Interim Data-Current Month'!V8</f>
        <v>2341569</v>
      </c>
      <c r="Q8" s="3">
        <f>'[1]Interim Data-Current Month'!W8/1000</f>
        <v>3254500.0774099999</v>
      </c>
      <c r="R8" s="3">
        <f>'[1]Interim Data-Current Month'!X8+'[1]Interim Data-Current Month'!Z8</f>
        <v>0</v>
      </c>
      <c r="S8" s="3">
        <f>'[1]Interim Data-Current Month'!Y8/1000+'[1]Interim Data-Current Month'!AA8/1000</f>
        <v>0</v>
      </c>
      <c r="T8" s="19">
        <f t="shared" ref="T8:T50" si="2">R8+P8+N8</f>
        <v>7239360</v>
      </c>
      <c r="U8" s="19">
        <f t="shared" ref="U8:U50" si="3">S8+Q8+O8</f>
        <v>11480222.674309999</v>
      </c>
    </row>
    <row r="9" spans="1:21" x14ac:dyDescent="0.25">
      <c r="B9" s="8">
        <v>3</v>
      </c>
      <c r="C9" s="4" t="s">
        <v>13</v>
      </c>
      <c r="D9" s="3">
        <f>'[1]Interim Data-Current Month'!C9</f>
        <v>76504</v>
      </c>
      <c r="E9" s="3">
        <f>'[1]Interim Data-Current Month'!D9</f>
        <v>12915821</v>
      </c>
      <c r="F9" s="3">
        <f>'[1]Interim Data-Current Month'!J9</f>
        <v>86079</v>
      </c>
      <c r="G9" s="3">
        <f>'[1]Interim Data-Current Month'!K9/1000</f>
        <v>350761.89250000002</v>
      </c>
      <c r="H9" s="3">
        <f>'[1]Interim Data-Current Month'!L9</f>
        <v>0</v>
      </c>
      <c r="I9" s="3">
        <f>'[1]Interim Data-Current Month'!M9/1000</f>
        <v>0</v>
      </c>
      <c r="J9" s="3">
        <f>'[1]Interim Data-Current Month'!N9+'[1]Interim Data-Current Month'!P9</f>
        <v>0</v>
      </c>
      <c r="K9" s="3">
        <f>'[1]Interim Data-Current Month'!O9/1000+'[1]Interim Data-Current Month'!Q9/1000</f>
        <v>0</v>
      </c>
      <c r="L9" s="3">
        <f t="shared" si="0"/>
        <v>86079</v>
      </c>
      <c r="M9" s="3">
        <f t="shared" si="1"/>
        <v>350761.89250000002</v>
      </c>
      <c r="N9" s="3">
        <f>'[1]Interim Data-Current Month'!T9</f>
        <v>2343844</v>
      </c>
      <c r="O9" s="3">
        <f>'[1]Interim Data-Current Month'!U9/1000</f>
        <v>3501658.1438099998</v>
      </c>
      <c r="P9" s="3">
        <f>'[1]Interim Data-Current Month'!V9</f>
        <v>955955</v>
      </c>
      <c r="Q9" s="3">
        <f>'[1]Interim Data-Current Month'!W9/1000</f>
        <v>1286687.47218</v>
      </c>
      <c r="R9" s="3">
        <f>'[1]Interim Data-Current Month'!X9+'[1]Interim Data-Current Month'!Z9</f>
        <v>8567</v>
      </c>
      <c r="S9" s="3">
        <f>'[1]Interim Data-Current Month'!Y9/1000+'[1]Interim Data-Current Month'!AA9/1000</f>
        <v>94084.072840000008</v>
      </c>
      <c r="T9" s="19">
        <f t="shared" si="2"/>
        <v>3308366</v>
      </c>
      <c r="U9" s="19">
        <f t="shared" si="3"/>
        <v>4882429.6888299994</v>
      </c>
    </row>
    <row r="10" spans="1:21" x14ac:dyDescent="0.25">
      <c r="B10" s="8">
        <v>4</v>
      </c>
      <c r="C10" s="2" t="s">
        <v>14</v>
      </c>
      <c r="D10" s="3">
        <f>'[1]Interim Data-Current Month'!C10</f>
        <v>527272</v>
      </c>
      <c r="E10" s="3">
        <f>'[1]Interim Data-Current Month'!D10</f>
        <v>47715491</v>
      </c>
      <c r="F10" s="3">
        <f>'[1]Interim Data-Current Month'!J10</f>
        <v>680723</v>
      </c>
      <c r="G10" s="3">
        <f>'[1]Interim Data-Current Month'!K10/1000</f>
        <v>1775318.63109</v>
      </c>
      <c r="H10" s="3">
        <f>'[1]Interim Data-Current Month'!L10</f>
        <v>298825</v>
      </c>
      <c r="I10" s="3">
        <f>'[1]Interim Data-Current Month'!M10/1000</f>
        <v>1045190.07969</v>
      </c>
      <c r="J10" s="3">
        <f>'[1]Interim Data-Current Month'!N10+'[1]Interim Data-Current Month'!P10</f>
        <v>0</v>
      </c>
      <c r="K10" s="3">
        <f>'[1]Interim Data-Current Month'!O10/1000+'[1]Interim Data-Current Month'!Q10/1000</f>
        <v>0</v>
      </c>
      <c r="L10" s="3">
        <f t="shared" si="0"/>
        <v>979548</v>
      </c>
      <c r="M10" s="3">
        <f t="shared" si="1"/>
        <v>2820508.7107800003</v>
      </c>
      <c r="N10" s="3">
        <f>'[1]Interim Data-Current Month'!T10</f>
        <v>9614683</v>
      </c>
      <c r="O10" s="3">
        <f>'[1]Interim Data-Current Month'!U10/1000</f>
        <v>19132177.332730003</v>
      </c>
      <c r="P10" s="3">
        <f>'[1]Interim Data-Current Month'!V10</f>
        <v>3643427</v>
      </c>
      <c r="Q10" s="3">
        <f>'[1]Interim Data-Current Month'!W10/1000</f>
        <v>6594791.1517999992</v>
      </c>
      <c r="R10" s="3">
        <f>'[1]Interim Data-Current Month'!X10+'[1]Interim Data-Current Month'!Z10</f>
        <v>4379</v>
      </c>
      <c r="S10" s="3">
        <f>'[1]Interim Data-Current Month'!Y10/1000+'[1]Interim Data-Current Month'!AA10/1000</f>
        <v>69357.433000000005</v>
      </c>
      <c r="T10" s="19">
        <f t="shared" si="2"/>
        <v>13262489</v>
      </c>
      <c r="U10" s="19">
        <f t="shared" si="3"/>
        <v>25796325.91753</v>
      </c>
    </row>
    <row r="11" spans="1:21" x14ac:dyDescent="0.25">
      <c r="B11" s="8">
        <v>5</v>
      </c>
      <c r="C11" s="2" t="s">
        <v>15</v>
      </c>
      <c r="D11" s="3">
        <f>'[1]Interim Data-Current Month'!C11</f>
        <v>0</v>
      </c>
      <c r="E11" s="3">
        <f>'[1]Interim Data-Current Month'!D11</f>
        <v>27556286</v>
      </c>
      <c r="F11" s="3">
        <f>'[1]Interim Data-Current Month'!J11</f>
        <v>0</v>
      </c>
      <c r="G11" s="3">
        <f>'[1]Interim Data-Current Month'!K11/1000</f>
        <v>0</v>
      </c>
      <c r="H11" s="3">
        <f>'[1]Interim Data-Current Month'!L11</f>
        <v>0</v>
      </c>
      <c r="I11" s="3">
        <f>'[1]Interim Data-Current Month'!M11/1000</f>
        <v>0</v>
      </c>
      <c r="J11" s="3">
        <f>'[1]Interim Data-Current Month'!N11+'[1]Interim Data-Current Month'!P11</f>
        <v>0</v>
      </c>
      <c r="K11" s="3">
        <f>'[1]Interim Data-Current Month'!O11/1000+'[1]Interim Data-Current Month'!Q11/1000</f>
        <v>0</v>
      </c>
      <c r="L11" s="3">
        <f t="shared" si="0"/>
        <v>0</v>
      </c>
      <c r="M11" s="3">
        <f t="shared" si="1"/>
        <v>0</v>
      </c>
      <c r="N11" s="3">
        <f>'[1]Interim Data-Current Month'!T11</f>
        <v>2740197</v>
      </c>
      <c r="O11" s="3">
        <f>'[1]Interim Data-Current Month'!U11/1000</f>
        <v>5530719.926</v>
      </c>
      <c r="P11" s="3">
        <f>'[1]Interim Data-Current Month'!V11</f>
        <v>758067</v>
      </c>
      <c r="Q11" s="3">
        <f>'[1]Interim Data-Current Month'!W11/1000</f>
        <v>1367011.672</v>
      </c>
      <c r="R11" s="3">
        <f>'[1]Interim Data-Current Month'!X11+'[1]Interim Data-Current Month'!Z11</f>
        <v>0</v>
      </c>
      <c r="S11" s="3">
        <f>'[1]Interim Data-Current Month'!Y11/1000+'[1]Interim Data-Current Month'!AA11/1000</f>
        <v>0</v>
      </c>
      <c r="T11" s="19">
        <f t="shared" si="2"/>
        <v>3498264</v>
      </c>
      <c r="U11" s="19">
        <f t="shared" si="3"/>
        <v>6897731.5980000002</v>
      </c>
    </row>
    <row r="12" spans="1:21" x14ac:dyDescent="0.25">
      <c r="B12" s="8">
        <v>6</v>
      </c>
      <c r="C12" s="2" t="s">
        <v>16</v>
      </c>
      <c r="D12" s="3">
        <f>'[1]Interim Data-Current Month'!C12</f>
        <v>163346</v>
      </c>
      <c r="E12" s="3">
        <f>'[1]Interim Data-Current Month'!D12</f>
        <v>28371703</v>
      </c>
      <c r="F12" s="3">
        <f>'[1]Interim Data-Current Month'!J12</f>
        <v>132517</v>
      </c>
      <c r="G12" s="3">
        <f>'[1]Interim Data-Current Month'!K12/1000</f>
        <v>392800.37800000003</v>
      </c>
      <c r="H12" s="3">
        <f>'[1]Interim Data-Current Month'!L12</f>
        <v>69212</v>
      </c>
      <c r="I12" s="3">
        <f>'[1]Interim Data-Current Month'!M12/1000</f>
        <v>315741.94</v>
      </c>
      <c r="J12" s="3">
        <f>'[1]Interim Data-Current Month'!N12+'[1]Interim Data-Current Month'!P12</f>
        <v>0</v>
      </c>
      <c r="K12" s="3">
        <f>'[1]Interim Data-Current Month'!O12/1000+'[1]Interim Data-Current Month'!Q12/1000</f>
        <v>0</v>
      </c>
      <c r="L12" s="3">
        <f t="shared" si="0"/>
        <v>201729</v>
      </c>
      <c r="M12" s="3">
        <f t="shared" si="1"/>
        <v>708542.31799999997</v>
      </c>
      <c r="N12" s="3">
        <f>'[1]Interim Data-Current Month'!T12</f>
        <v>5912361</v>
      </c>
      <c r="O12" s="3">
        <f>'[1]Interim Data-Current Month'!U12/1000</f>
        <v>11008811.01908</v>
      </c>
      <c r="P12" s="3">
        <f>'[1]Interim Data-Current Month'!V12</f>
        <v>2685725</v>
      </c>
      <c r="Q12" s="3">
        <f>'[1]Interim Data-Current Month'!W12/1000</f>
        <v>4123347.895</v>
      </c>
      <c r="R12" s="3">
        <f>'[1]Interim Data-Current Month'!X12+'[1]Interim Data-Current Month'!Z12</f>
        <v>5048</v>
      </c>
      <c r="S12" s="3">
        <f>'[1]Interim Data-Current Month'!Y12/1000+'[1]Interim Data-Current Month'!AA12/1000</f>
        <v>75390.299150000006</v>
      </c>
      <c r="T12" s="19">
        <f t="shared" si="2"/>
        <v>8603134</v>
      </c>
      <c r="U12" s="19">
        <f t="shared" si="3"/>
        <v>15207549.213229999</v>
      </c>
    </row>
    <row r="13" spans="1:21" x14ac:dyDescent="0.25">
      <c r="B13" s="8">
        <v>7</v>
      </c>
      <c r="C13" s="2" t="s">
        <v>17</v>
      </c>
      <c r="D13" s="3">
        <f>'[1]Interim Data-Current Month'!C13</f>
        <v>80651</v>
      </c>
      <c r="E13" s="3">
        <f>'[1]Interim Data-Current Month'!D13</f>
        <v>15263223</v>
      </c>
      <c r="F13" s="3">
        <f>'[1]Interim Data-Current Month'!J13</f>
        <v>65761</v>
      </c>
      <c r="G13" s="3">
        <f>'[1]Interim Data-Current Month'!K13/1000</f>
        <v>159058.24799999999</v>
      </c>
      <c r="H13" s="3">
        <f>'[1]Interim Data-Current Month'!L13</f>
        <v>22073</v>
      </c>
      <c r="I13" s="3">
        <f>'[1]Interim Data-Current Month'!M13/1000</f>
        <v>59982.478000000003</v>
      </c>
      <c r="J13" s="3">
        <f>'[1]Interim Data-Current Month'!N13+'[1]Interim Data-Current Month'!P13</f>
        <v>0</v>
      </c>
      <c r="K13" s="3">
        <f>'[1]Interim Data-Current Month'!O13/1000+'[1]Interim Data-Current Month'!Q13/1000</f>
        <v>0</v>
      </c>
      <c r="L13" s="3">
        <f t="shared" si="0"/>
        <v>87834</v>
      </c>
      <c r="M13" s="3">
        <f t="shared" si="1"/>
        <v>219040.726</v>
      </c>
      <c r="N13" s="3">
        <f>'[1]Interim Data-Current Month'!T13</f>
        <v>3779083</v>
      </c>
      <c r="O13" s="3">
        <f>'[1]Interim Data-Current Month'!U13/1000</f>
        <v>6903129.4756100001</v>
      </c>
      <c r="P13" s="3">
        <f>'[1]Interim Data-Current Month'!V13</f>
        <v>1109388</v>
      </c>
      <c r="Q13" s="3">
        <f>'[1]Interim Data-Current Month'!W13/1000</f>
        <v>1835459.8232499999</v>
      </c>
      <c r="R13" s="3">
        <f>'[1]Interim Data-Current Month'!X13+'[1]Interim Data-Current Month'!Z13</f>
        <v>0</v>
      </c>
      <c r="S13" s="3">
        <f>'[1]Interim Data-Current Month'!Y13/1000+'[1]Interim Data-Current Month'!AA13/1000</f>
        <v>0</v>
      </c>
      <c r="T13" s="19">
        <f t="shared" si="2"/>
        <v>4888471</v>
      </c>
      <c r="U13" s="19">
        <f t="shared" si="3"/>
        <v>8738589.2988600004</v>
      </c>
    </row>
    <row r="14" spans="1:21" x14ac:dyDescent="0.25">
      <c r="B14" s="8">
        <v>8</v>
      </c>
      <c r="C14" s="2" t="s">
        <v>18</v>
      </c>
      <c r="D14" s="3">
        <f>'[1]Interim Data-Current Month'!C14</f>
        <v>0</v>
      </c>
      <c r="E14" s="3">
        <f>'[1]Interim Data-Current Month'!D14</f>
        <v>3540893</v>
      </c>
      <c r="F14" s="3">
        <f>'[1]Interim Data-Current Month'!J14</f>
        <v>0</v>
      </c>
      <c r="G14" s="3">
        <f>'[1]Interim Data-Current Month'!K14/1000</f>
        <v>0</v>
      </c>
      <c r="H14" s="3">
        <f>'[1]Interim Data-Current Month'!L14</f>
        <v>0</v>
      </c>
      <c r="I14" s="3">
        <f>'[1]Interim Data-Current Month'!M14/1000</f>
        <v>0</v>
      </c>
      <c r="J14" s="3">
        <f>'[1]Interim Data-Current Month'!N14+'[1]Interim Data-Current Month'!P14</f>
        <v>0</v>
      </c>
      <c r="K14" s="3">
        <f>'[1]Interim Data-Current Month'!O14/1000+'[1]Interim Data-Current Month'!Q14/1000</f>
        <v>0</v>
      </c>
      <c r="L14" s="3">
        <f t="shared" si="0"/>
        <v>0</v>
      </c>
      <c r="M14" s="3">
        <f t="shared" si="1"/>
        <v>0</v>
      </c>
      <c r="N14" s="3">
        <f>'[1]Interim Data-Current Month'!T14</f>
        <v>552844</v>
      </c>
      <c r="O14" s="3">
        <f>'[1]Interim Data-Current Month'!U14/1000</f>
        <v>1127320.67319</v>
      </c>
      <c r="P14" s="3">
        <f>'[1]Interim Data-Current Month'!V14</f>
        <v>333136</v>
      </c>
      <c r="Q14" s="3">
        <f>'[1]Interim Data-Current Month'!W14/1000</f>
        <v>774272.24119000009</v>
      </c>
      <c r="R14" s="3">
        <f>'[1]Interim Data-Current Month'!X14+'[1]Interim Data-Current Month'!Z14</f>
        <v>0</v>
      </c>
      <c r="S14" s="3">
        <f>'[1]Interim Data-Current Month'!Y14/1000+'[1]Interim Data-Current Month'!AA14/1000</f>
        <v>0</v>
      </c>
      <c r="T14" s="19">
        <f t="shared" si="2"/>
        <v>885980</v>
      </c>
      <c r="U14" s="19">
        <f t="shared" si="3"/>
        <v>1901592.91438</v>
      </c>
    </row>
    <row r="15" spans="1:21" x14ac:dyDescent="0.25">
      <c r="B15" s="8">
        <v>9</v>
      </c>
      <c r="C15" s="2" t="s">
        <v>19</v>
      </c>
      <c r="D15" s="3">
        <f>'[1]Interim Data-Current Month'!C15</f>
        <v>339352</v>
      </c>
      <c r="E15" s="3">
        <f>'[1]Interim Data-Current Month'!D15</f>
        <v>45499411</v>
      </c>
      <c r="F15" s="3">
        <f>'[1]Interim Data-Current Month'!J15</f>
        <v>470266</v>
      </c>
      <c r="G15" s="3">
        <f>'[1]Interim Data-Current Month'!K15/1000</f>
        <v>1416237.6076800001</v>
      </c>
      <c r="H15" s="3">
        <f>'[1]Interim Data-Current Month'!L15</f>
        <v>179524</v>
      </c>
      <c r="I15" s="3">
        <f>'[1]Interim Data-Current Month'!M15/1000</f>
        <v>610443.15891999996</v>
      </c>
      <c r="J15" s="3">
        <f>'[1]Interim Data-Current Month'!N15+'[1]Interim Data-Current Month'!P15</f>
        <v>0</v>
      </c>
      <c r="K15" s="3">
        <f>'[1]Interim Data-Current Month'!O15/1000+'[1]Interim Data-Current Month'!Q15/1000</f>
        <v>0</v>
      </c>
      <c r="L15" s="3">
        <f t="shared" si="0"/>
        <v>649790</v>
      </c>
      <c r="M15" s="3">
        <f t="shared" si="1"/>
        <v>2026680.7666000002</v>
      </c>
      <c r="N15" s="3">
        <f>'[1]Interim Data-Current Month'!T15</f>
        <v>7656358</v>
      </c>
      <c r="O15" s="3">
        <f>'[1]Interim Data-Current Month'!U15/1000</f>
        <v>15432324.73522</v>
      </c>
      <c r="P15" s="3">
        <f>'[1]Interim Data-Current Month'!V15</f>
        <v>4444680</v>
      </c>
      <c r="Q15" s="3">
        <f>'[1]Interim Data-Current Month'!W15/1000</f>
        <v>7744252.0111999996</v>
      </c>
      <c r="R15" s="3">
        <f>'[1]Interim Data-Current Month'!X15+'[1]Interim Data-Current Month'!Z15</f>
        <v>0</v>
      </c>
      <c r="S15" s="3">
        <f>'[1]Interim Data-Current Month'!Y15/1000+'[1]Interim Data-Current Month'!AA15/1000</f>
        <v>0</v>
      </c>
      <c r="T15" s="19">
        <f t="shared" si="2"/>
        <v>12101038</v>
      </c>
      <c r="U15" s="19">
        <f t="shared" si="3"/>
        <v>23176576.74642</v>
      </c>
    </row>
    <row r="16" spans="1:21" x14ac:dyDescent="0.25">
      <c r="B16" s="8">
        <v>10</v>
      </c>
      <c r="C16" s="2" t="s">
        <v>20</v>
      </c>
      <c r="D16" s="3">
        <f>'[1]Interim Data-Current Month'!C16</f>
        <v>14830926</v>
      </c>
      <c r="E16" s="3">
        <f>'[1]Interim Data-Current Month'!D16</f>
        <v>277159959</v>
      </c>
      <c r="F16" s="3">
        <f>'[1]Interim Data-Current Month'!J16</f>
        <v>24874157</v>
      </c>
      <c r="G16" s="3">
        <f>'[1]Interim Data-Current Month'!K16/1000</f>
        <v>73273040.261999995</v>
      </c>
      <c r="H16" s="3">
        <f>'[1]Interim Data-Current Month'!L16</f>
        <v>19272201</v>
      </c>
      <c r="I16" s="3">
        <f>'[1]Interim Data-Current Month'!M16/1000</f>
        <v>122755468.59</v>
      </c>
      <c r="J16" s="3">
        <f>'[1]Interim Data-Current Month'!N16+'[1]Interim Data-Current Month'!P16</f>
        <v>0</v>
      </c>
      <c r="K16" s="3">
        <f>'[1]Interim Data-Current Month'!O16/1000+'[1]Interim Data-Current Month'!Q16/1000</f>
        <v>0</v>
      </c>
      <c r="L16" s="3">
        <f t="shared" si="0"/>
        <v>44146358</v>
      </c>
      <c r="M16" s="3">
        <f t="shared" si="1"/>
        <v>196028508.852</v>
      </c>
      <c r="N16" s="3">
        <f>'[1]Interim Data-Current Month'!T16</f>
        <v>57842497</v>
      </c>
      <c r="O16" s="3">
        <f>'[1]Interim Data-Current Month'!U16/1000</f>
        <v>113792383.94597</v>
      </c>
      <c r="P16" s="3">
        <f>'[1]Interim Data-Current Month'!V16</f>
        <v>27311820</v>
      </c>
      <c r="Q16" s="3">
        <f>'[1]Interim Data-Current Month'!W16/1000</f>
        <v>48475518.832779996</v>
      </c>
      <c r="R16" s="3">
        <f>'[1]Interim Data-Current Month'!X16+'[1]Interim Data-Current Month'!Z16</f>
        <v>1995</v>
      </c>
      <c r="S16" s="3">
        <f>'[1]Interim Data-Current Month'!Y16/1000+'[1]Interim Data-Current Month'!AA16/1000</f>
        <v>25212.066999999999</v>
      </c>
      <c r="T16" s="19">
        <f t="shared" si="2"/>
        <v>85156312</v>
      </c>
      <c r="U16" s="19">
        <f t="shared" si="3"/>
        <v>162293114.84575</v>
      </c>
    </row>
    <row r="17" spans="2:21" x14ac:dyDescent="0.25">
      <c r="B17" s="8">
        <v>11</v>
      </c>
      <c r="C17" s="2" t="s">
        <v>21</v>
      </c>
      <c r="D17" s="3">
        <f>'[1]Interim Data-Current Month'!C17</f>
        <v>0</v>
      </c>
      <c r="E17" s="3">
        <f>'[1]Interim Data-Current Month'!D17</f>
        <v>11753993</v>
      </c>
      <c r="F17" s="3">
        <f>'[1]Interim Data-Current Month'!J17</f>
        <v>0</v>
      </c>
      <c r="G17" s="3">
        <f>'[1]Interim Data-Current Month'!K17/1000</f>
        <v>0</v>
      </c>
      <c r="H17" s="3">
        <f>'[1]Interim Data-Current Month'!L17</f>
        <v>0</v>
      </c>
      <c r="I17" s="3">
        <f>'[1]Interim Data-Current Month'!M17/1000</f>
        <v>0</v>
      </c>
      <c r="J17" s="3">
        <f>'[1]Interim Data-Current Month'!N17+'[1]Interim Data-Current Month'!P17</f>
        <v>0</v>
      </c>
      <c r="K17" s="3">
        <f>'[1]Interim Data-Current Month'!O17/1000+'[1]Interim Data-Current Month'!Q17/1000</f>
        <v>0</v>
      </c>
      <c r="L17" s="3">
        <f t="shared" si="0"/>
        <v>0</v>
      </c>
      <c r="M17" s="3">
        <f t="shared" si="1"/>
        <v>0</v>
      </c>
      <c r="N17" s="3">
        <f>'[1]Interim Data-Current Month'!T17</f>
        <v>2018089</v>
      </c>
      <c r="O17" s="3">
        <f>'[1]Interim Data-Current Month'!U17/1000</f>
        <v>3742246.8309999998</v>
      </c>
      <c r="P17" s="3">
        <f>'[1]Interim Data-Current Month'!V17</f>
        <v>818529</v>
      </c>
      <c r="Q17" s="3">
        <f>'[1]Interim Data-Current Month'!W17/1000</f>
        <v>1451450.5549999999</v>
      </c>
      <c r="R17" s="3">
        <f>'[1]Interim Data-Current Month'!X17+'[1]Interim Data-Current Month'!Z17</f>
        <v>1155</v>
      </c>
      <c r="S17" s="3">
        <f>'[1]Interim Data-Current Month'!Y17/1000+'[1]Interim Data-Current Month'!AA17/1000</f>
        <v>16199.839</v>
      </c>
      <c r="T17" s="19">
        <f t="shared" si="2"/>
        <v>2837773</v>
      </c>
      <c r="U17" s="19">
        <f t="shared" si="3"/>
        <v>5209897.2249999996</v>
      </c>
    </row>
    <row r="18" spans="2:21" x14ac:dyDescent="0.25">
      <c r="B18" s="8">
        <v>12</v>
      </c>
      <c r="C18" s="2" t="s">
        <v>22</v>
      </c>
      <c r="D18" s="3">
        <f>'[1]Interim Data-Current Month'!C18</f>
        <v>563047</v>
      </c>
      <c r="E18" s="3">
        <f>'[1]Interim Data-Current Month'!D18</f>
        <v>49647373</v>
      </c>
      <c r="F18" s="3">
        <f>'[1]Interim Data-Current Month'!J18</f>
        <v>506381</v>
      </c>
      <c r="G18" s="3">
        <f>'[1]Interim Data-Current Month'!K18/1000</f>
        <v>1560303.4863499999</v>
      </c>
      <c r="H18" s="3">
        <f>'[1]Interim Data-Current Month'!L18</f>
        <v>265760</v>
      </c>
      <c r="I18" s="3">
        <f>'[1]Interim Data-Current Month'!M18/1000</f>
        <v>1014019.8793200001</v>
      </c>
      <c r="J18" s="3">
        <f>'[1]Interim Data-Current Month'!N18+'[1]Interim Data-Current Month'!P18</f>
        <v>0</v>
      </c>
      <c r="K18" s="3">
        <f>'[1]Interim Data-Current Month'!O18/1000+'[1]Interim Data-Current Month'!Q18/1000</f>
        <v>0</v>
      </c>
      <c r="L18" s="3">
        <f t="shared" si="0"/>
        <v>772141</v>
      </c>
      <c r="M18" s="3">
        <f t="shared" si="1"/>
        <v>2574323.3656700002</v>
      </c>
      <c r="N18" s="3">
        <f>'[1]Interim Data-Current Month'!T18</f>
        <v>10277219</v>
      </c>
      <c r="O18" s="3">
        <f>'[1]Interim Data-Current Month'!U18/1000</f>
        <v>17543980.666000001</v>
      </c>
      <c r="P18" s="3">
        <f>'[1]Interim Data-Current Month'!V18</f>
        <v>6236821</v>
      </c>
      <c r="Q18" s="3">
        <f>'[1]Interim Data-Current Month'!W18/1000</f>
        <v>10004856.932</v>
      </c>
      <c r="R18" s="3">
        <f>'[1]Interim Data-Current Month'!X18+'[1]Interim Data-Current Month'!Z18</f>
        <v>3302</v>
      </c>
      <c r="S18" s="3">
        <f>'[1]Interim Data-Current Month'!Y18/1000+'[1]Interim Data-Current Month'!AA18/1000</f>
        <v>12534.436159999999</v>
      </c>
      <c r="T18" s="19">
        <f t="shared" si="2"/>
        <v>16517342</v>
      </c>
      <c r="U18" s="19">
        <f t="shared" si="3"/>
        <v>27561372.034160003</v>
      </c>
    </row>
    <row r="19" spans="2:21" x14ac:dyDescent="0.25">
      <c r="B19" s="5" t="s">
        <v>23</v>
      </c>
      <c r="C19" s="10"/>
      <c r="D19" s="1"/>
      <c r="E19" s="1"/>
      <c r="F19" s="1"/>
      <c r="G19" s="1"/>
      <c r="H19" s="1"/>
      <c r="I19" s="1"/>
      <c r="J19" s="1"/>
      <c r="K19" s="1"/>
      <c r="L19" s="3"/>
      <c r="M19" s="3"/>
      <c r="N19" s="3"/>
      <c r="O19" s="3"/>
      <c r="P19" s="3"/>
      <c r="Q19" s="3"/>
      <c r="R19" s="3"/>
      <c r="S19" s="3"/>
      <c r="T19" s="19"/>
      <c r="U19" s="19"/>
    </row>
    <row r="20" spans="2:21" x14ac:dyDescent="0.25">
      <c r="B20" s="8">
        <v>13</v>
      </c>
      <c r="C20" s="2" t="s">
        <v>24</v>
      </c>
      <c r="D20" s="3">
        <f>'[1]Interim Data-Current Month'!C19</f>
        <v>8879353</v>
      </c>
      <c r="E20" s="3">
        <f>'[1]Interim Data-Current Month'!D19</f>
        <v>28975119</v>
      </c>
      <c r="F20" s="3">
        <f>'[1]Interim Data-Current Month'!J19</f>
        <v>17689105</v>
      </c>
      <c r="G20" s="3">
        <f>'[1]Interim Data-Current Month'!K19/1000</f>
        <v>50535667.402999997</v>
      </c>
      <c r="H20" s="3">
        <f>'[1]Interim Data-Current Month'!L19</f>
        <v>11713077</v>
      </c>
      <c r="I20" s="3">
        <f>'[1]Interim Data-Current Month'!M19/1000</f>
        <v>52678106.329000004</v>
      </c>
      <c r="J20" s="3">
        <f>'[1]Interim Data-Current Month'!N19+'[1]Interim Data-Current Month'!P19</f>
        <v>0</v>
      </c>
      <c r="K20" s="3">
        <f>'[1]Interim Data-Current Month'!O19/1000+'[1]Interim Data-Current Month'!Q19/1000</f>
        <v>0</v>
      </c>
      <c r="L20" s="3">
        <f t="shared" si="0"/>
        <v>29402182</v>
      </c>
      <c r="M20" s="3">
        <f t="shared" si="1"/>
        <v>103213773.73199999</v>
      </c>
      <c r="N20" s="3">
        <f>'[1]Interim Data-Current Month'!T19</f>
        <v>11841298</v>
      </c>
      <c r="O20" s="3">
        <f>'[1]Interim Data-Current Month'!U19/1000</f>
        <v>26026183.835999999</v>
      </c>
      <c r="P20" s="3">
        <f>'[1]Interim Data-Current Month'!V19</f>
        <v>5452481</v>
      </c>
      <c r="Q20" s="3">
        <f>'[1]Interim Data-Current Month'!W19/1000</f>
        <v>16299792.955</v>
      </c>
      <c r="R20" s="3">
        <f>'[1]Interim Data-Current Month'!X19+'[1]Interim Data-Current Month'!Z19</f>
        <v>20135</v>
      </c>
      <c r="S20" s="3">
        <f>'[1]Interim Data-Current Month'!Y19/1000+'[1]Interim Data-Current Month'!AA19/1000</f>
        <v>485373.55348</v>
      </c>
      <c r="T20" s="19">
        <f t="shared" si="2"/>
        <v>17313914</v>
      </c>
      <c r="U20" s="19">
        <f t="shared" si="3"/>
        <v>42811350.34448</v>
      </c>
    </row>
    <row r="21" spans="2:21" x14ac:dyDescent="0.25">
      <c r="B21" s="8">
        <v>14</v>
      </c>
      <c r="C21" s="2" t="s">
        <v>25</v>
      </c>
      <c r="D21" s="3">
        <f>'[1]Interim Data-Current Month'!C20</f>
        <v>0</v>
      </c>
      <c r="E21" s="3">
        <f>'[1]Interim Data-Current Month'!D20</f>
        <v>5200062</v>
      </c>
      <c r="F21" s="3">
        <f>'[1]Interim Data-Current Month'!J20</f>
        <v>0</v>
      </c>
      <c r="G21" s="3">
        <f>'[1]Interim Data-Current Month'!K20/1000</f>
        <v>0</v>
      </c>
      <c r="H21" s="3">
        <f>'[1]Interim Data-Current Month'!L20</f>
        <v>0</v>
      </c>
      <c r="I21" s="3">
        <f>'[1]Interim Data-Current Month'!M20/1000</f>
        <v>0</v>
      </c>
      <c r="J21" s="3">
        <f>'[1]Interim Data-Current Month'!N20+'[1]Interim Data-Current Month'!P20</f>
        <v>0</v>
      </c>
      <c r="K21" s="3">
        <f>'[1]Interim Data-Current Month'!O20/1000+'[1]Interim Data-Current Month'!Q20/1000</f>
        <v>0</v>
      </c>
      <c r="L21" s="3">
        <f t="shared" si="0"/>
        <v>0</v>
      </c>
      <c r="M21" s="3">
        <f t="shared" si="1"/>
        <v>0</v>
      </c>
      <c r="N21" s="3">
        <f>'[1]Interim Data-Current Month'!T20</f>
        <v>553270</v>
      </c>
      <c r="O21" s="3">
        <f>'[1]Interim Data-Current Month'!U20/1000</f>
        <v>1254067.2974699999</v>
      </c>
      <c r="P21" s="3">
        <f>'[1]Interim Data-Current Month'!V20</f>
        <v>273819</v>
      </c>
      <c r="Q21" s="3">
        <f>'[1]Interim Data-Current Month'!W20/1000</f>
        <v>701250.29489000014</v>
      </c>
      <c r="R21" s="3">
        <f>'[1]Interim Data-Current Month'!X20+'[1]Interim Data-Current Month'!Z20</f>
        <v>0</v>
      </c>
      <c r="S21" s="3">
        <f>'[1]Interim Data-Current Month'!Y20/1000+'[1]Interim Data-Current Month'!AA20/1000</f>
        <v>0</v>
      </c>
      <c r="T21" s="19">
        <f t="shared" si="2"/>
        <v>827089</v>
      </c>
      <c r="U21" s="19">
        <f t="shared" si="3"/>
        <v>1955317.5923600001</v>
      </c>
    </row>
    <row r="22" spans="2:21" x14ac:dyDescent="0.25">
      <c r="B22" s="8">
        <v>15</v>
      </c>
      <c r="C22" s="2" t="s">
        <v>26</v>
      </c>
      <c r="D22" s="3">
        <f>'[1]Interim Data-Current Month'!C21</f>
        <v>1644</v>
      </c>
      <c r="E22" s="3">
        <f>'[1]Interim Data-Current Month'!D21</f>
        <v>2622921</v>
      </c>
      <c r="F22" s="3">
        <f>'[1]Interim Data-Current Month'!J21</f>
        <v>1611</v>
      </c>
      <c r="G22" s="3">
        <f>'[1]Interim Data-Current Month'!K21/1000</f>
        <v>3458.9223299999999</v>
      </c>
      <c r="H22" s="3">
        <f>'[1]Interim Data-Current Month'!L21</f>
        <v>306</v>
      </c>
      <c r="I22" s="3">
        <f>'[1]Interim Data-Current Month'!M21/1000</f>
        <v>843.03300999999999</v>
      </c>
      <c r="J22" s="3">
        <f>'[1]Interim Data-Current Month'!N21+'[1]Interim Data-Current Month'!P21</f>
        <v>0</v>
      </c>
      <c r="K22" s="3">
        <f>'[1]Interim Data-Current Month'!O21/1000+'[1]Interim Data-Current Month'!Q21/1000</f>
        <v>0</v>
      </c>
      <c r="L22" s="3">
        <f t="shared" si="0"/>
        <v>1917</v>
      </c>
      <c r="M22" s="3">
        <f t="shared" si="1"/>
        <v>4301.9553399999995</v>
      </c>
      <c r="N22" s="3">
        <f>'[1]Interim Data-Current Month'!T21</f>
        <v>938013</v>
      </c>
      <c r="O22" s="3">
        <f>'[1]Interim Data-Current Month'!U21/1000</f>
        <v>1814139.98007</v>
      </c>
      <c r="P22" s="3">
        <f>'[1]Interim Data-Current Month'!V21</f>
        <v>180523</v>
      </c>
      <c r="Q22" s="3">
        <f>'[1]Interim Data-Current Month'!W21/1000</f>
        <v>323391.01779000001</v>
      </c>
      <c r="R22" s="3">
        <f>'[1]Interim Data-Current Month'!X21+'[1]Interim Data-Current Month'!Z21</f>
        <v>0</v>
      </c>
      <c r="S22" s="3">
        <f>'[1]Interim Data-Current Month'!Y21/1000+'[1]Interim Data-Current Month'!AA21/1000</f>
        <v>0</v>
      </c>
      <c r="T22" s="19">
        <f t="shared" si="2"/>
        <v>1118536</v>
      </c>
      <c r="U22" s="19">
        <f t="shared" si="3"/>
        <v>2137530.99786</v>
      </c>
    </row>
    <row r="23" spans="2:21" x14ac:dyDescent="0.25">
      <c r="B23" s="8">
        <v>16</v>
      </c>
      <c r="C23" s="2" t="s">
        <v>27</v>
      </c>
      <c r="D23" s="3">
        <f>'[1]Interim Data-Current Month'!C22</f>
        <v>0</v>
      </c>
      <c r="E23" s="3">
        <f>'[1]Interim Data-Current Month'!D22</f>
        <v>831219</v>
      </c>
      <c r="F23" s="3">
        <f>'[1]Interim Data-Current Month'!J22</f>
        <v>0</v>
      </c>
      <c r="G23" s="3">
        <f>'[1]Interim Data-Current Month'!K22/1000</f>
        <v>0</v>
      </c>
      <c r="H23" s="3">
        <f>'[1]Interim Data-Current Month'!L22</f>
        <v>0</v>
      </c>
      <c r="I23" s="3">
        <f>'[1]Interim Data-Current Month'!M22/1000</f>
        <v>0</v>
      </c>
      <c r="J23" s="3">
        <f>'[1]Interim Data-Current Month'!N22+'[1]Interim Data-Current Month'!P22</f>
        <v>0</v>
      </c>
      <c r="K23" s="3">
        <f>'[1]Interim Data-Current Month'!O22/1000+'[1]Interim Data-Current Month'!Q22/1000</f>
        <v>0</v>
      </c>
      <c r="L23" s="3">
        <f t="shared" si="0"/>
        <v>0</v>
      </c>
      <c r="M23" s="3">
        <f t="shared" si="1"/>
        <v>0</v>
      </c>
      <c r="N23" s="3">
        <f>'[1]Interim Data-Current Month'!T22</f>
        <v>265347</v>
      </c>
      <c r="O23" s="3">
        <f>'[1]Interim Data-Current Month'!U22/1000</f>
        <v>476078.6924</v>
      </c>
      <c r="P23" s="3">
        <f>'[1]Interim Data-Current Month'!V22</f>
        <v>47706</v>
      </c>
      <c r="Q23" s="3">
        <f>'[1]Interim Data-Current Month'!W22/1000</f>
        <v>89804.872090000004</v>
      </c>
      <c r="R23" s="3">
        <f>'[1]Interim Data-Current Month'!X22+'[1]Interim Data-Current Month'!Z22</f>
        <v>14</v>
      </c>
      <c r="S23" s="3">
        <f>'[1]Interim Data-Current Month'!Y22/1000+'[1]Interim Data-Current Month'!AA22/1000</f>
        <v>120.358</v>
      </c>
      <c r="T23" s="19">
        <f t="shared" si="2"/>
        <v>313067</v>
      </c>
      <c r="U23" s="19">
        <f t="shared" si="3"/>
        <v>566003.92249000003</v>
      </c>
    </row>
    <row r="24" spans="2:21" x14ac:dyDescent="0.25">
      <c r="B24" s="8">
        <v>17</v>
      </c>
      <c r="C24" s="2" t="s">
        <v>28</v>
      </c>
      <c r="D24" s="3">
        <f>'[1]Interim Data-Current Month'!C23</f>
        <v>3382</v>
      </c>
      <c r="E24" s="3">
        <f>'[1]Interim Data-Current Month'!D23</f>
        <v>914406</v>
      </c>
      <c r="F24" s="3">
        <f>'[1]Interim Data-Current Month'!J23</f>
        <v>5329</v>
      </c>
      <c r="G24" s="3">
        <f>'[1]Interim Data-Current Month'!K23/1000</f>
        <v>13046.425999999999</v>
      </c>
      <c r="H24" s="3">
        <f>'[1]Interim Data-Current Month'!L23</f>
        <v>1493</v>
      </c>
      <c r="I24" s="3">
        <f>'[1]Interim Data-Current Month'!M23/1000</f>
        <v>5893.7835800000003</v>
      </c>
      <c r="J24" s="3">
        <f>'[1]Interim Data-Current Month'!N23+'[1]Interim Data-Current Month'!P23</f>
        <v>0</v>
      </c>
      <c r="K24" s="3">
        <f>'[1]Interim Data-Current Month'!O23/1000+'[1]Interim Data-Current Month'!Q23/1000</f>
        <v>0</v>
      </c>
      <c r="L24" s="3">
        <f t="shared" si="0"/>
        <v>6822</v>
      </c>
      <c r="M24" s="3">
        <f t="shared" si="1"/>
        <v>18940.209579999999</v>
      </c>
      <c r="N24" s="3">
        <f>'[1]Interim Data-Current Month'!T23</f>
        <v>289092</v>
      </c>
      <c r="O24" s="3">
        <f>'[1]Interim Data-Current Month'!U23/1000</f>
        <v>567334.35100000002</v>
      </c>
      <c r="P24" s="3">
        <f>'[1]Interim Data-Current Month'!V23</f>
        <v>45740</v>
      </c>
      <c r="Q24" s="3">
        <f>'[1]Interim Data-Current Month'!W23/1000</f>
        <v>158719.78816999999</v>
      </c>
      <c r="R24" s="3">
        <f>'[1]Interim Data-Current Month'!X23+'[1]Interim Data-Current Month'!Z23</f>
        <v>453</v>
      </c>
      <c r="S24" s="3">
        <f>'[1]Interim Data-Current Month'!Y23/1000+'[1]Interim Data-Current Month'!AA23/1000</f>
        <v>17528.653999999999</v>
      </c>
      <c r="T24" s="19">
        <f t="shared" si="2"/>
        <v>335285</v>
      </c>
      <c r="U24" s="19">
        <f t="shared" si="3"/>
        <v>743582.79316999996</v>
      </c>
    </row>
    <row r="25" spans="2:21" x14ac:dyDescent="0.25">
      <c r="B25" s="8">
        <v>18</v>
      </c>
      <c r="C25" s="2" t="s">
        <v>29</v>
      </c>
      <c r="D25" s="3">
        <f>'[1]Interim Data-Current Month'!C24</f>
        <v>7760</v>
      </c>
      <c r="E25" s="3">
        <f>'[1]Interim Data-Current Month'!D24</f>
        <v>518391</v>
      </c>
      <c r="F25" s="3">
        <f>'[1]Interim Data-Current Month'!J24</f>
        <v>20165</v>
      </c>
      <c r="G25" s="3">
        <f>'[1]Interim Data-Current Month'!K24/1000</f>
        <v>43557.592210000003</v>
      </c>
      <c r="H25" s="3">
        <f>'[1]Interim Data-Current Month'!L24</f>
        <v>5457</v>
      </c>
      <c r="I25" s="3">
        <f>'[1]Interim Data-Current Month'!M24/1000</f>
        <v>17325.953010000001</v>
      </c>
      <c r="J25" s="3">
        <f>'[1]Interim Data-Current Month'!N24+'[1]Interim Data-Current Month'!P24</f>
        <v>3</v>
      </c>
      <c r="K25" s="3">
        <f>'[1]Interim Data-Current Month'!O24/1000+'[1]Interim Data-Current Month'!Q24/1000</f>
        <v>53.020629999999997</v>
      </c>
      <c r="L25" s="3">
        <f t="shared" si="0"/>
        <v>25625</v>
      </c>
      <c r="M25" s="3">
        <f t="shared" si="1"/>
        <v>60936.565849999999</v>
      </c>
      <c r="N25" s="3">
        <f>'[1]Interim Data-Current Month'!T24</f>
        <v>273101</v>
      </c>
      <c r="O25" s="3">
        <f>'[1]Interim Data-Current Month'!U24/1000</f>
        <v>450084.14648</v>
      </c>
      <c r="P25" s="3">
        <f>'[1]Interim Data-Current Month'!V24</f>
        <v>36181</v>
      </c>
      <c r="Q25" s="3">
        <f>'[1]Interim Data-Current Month'!W24/1000</f>
        <v>75753.437459999986</v>
      </c>
      <c r="R25" s="3">
        <f>'[1]Interim Data-Current Month'!X24+'[1]Interim Data-Current Month'!Z24</f>
        <v>0</v>
      </c>
      <c r="S25" s="3">
        <f>'[1]Interim Data-Current Month'!Y24/1000+'[1]Interim Data-Current Month'!AA24/1000</f>
        <v>0</v>
      </c>
      <c r="T25" s="19">
        <f t="shared" si="2"/>
        <v>309282</v>
      </c>
      <c r="U25" s="19">
        <f t="shared" si="3"/>
        <v>525837.58394000004</v>
      </c>
    </row>
    <row r="26" spans="2:21" x14ac:dyDescent="0.25">
      <c r="B26" s="8">
        <v>19</v>
      </c>
      <c r="C26" s="2" t="s">
        <v>30</v>
      </c>
      <c r="D26" s="3">
        <f>'[1]Interim Data-Current Month'!C25</f>
        <v>297437</v>
      </c>
      <c r="E26" s="3">
        <f>'[1]Interim Data-Current Month'!D25</f>
        <v>12559380</v>
      </c>
      <c r="F26" s="3">
        <f>'[1]Interim Data-Current Month'!J25</f>
        <v>689121</v>
      </c>
      <c r="G26" s="3">
        <f>'[1]Interim Data-Current Month'!K25/1000</f>
        <v>2135237.4530000002</v>
      </c>
      <c r="H26" s="3">
        <f>'[1]Interim Data-Current Month'!L25</f>
        <v>659639</v>
      </c>
      <c r="I26" s="3">
        <f>'[1]Interim Data-Current Month'!M25/1000</f>
        <v>3466844.497</v>
      </c>
      <c r="J26" s="3">
        <f>'[1]Interim Data-Current Month'!N25+'[1]Interim Data-Current Month'!P25</f>
        <v>0</v>
      </c>
      <c r="K26" s="3">
        <f>'[1]Interim Data-Current Month'!O25/1000+'[1]Interim Data-Current Month'!Q25/1000</f>
        <v>0</v>
      </c>
      <c r="L26" s="3">
        <f t="shared" si="0"/>
        <v>1348760</v>
      </c>
      <c r="M26" s="3">
        <f t="shared" si="1"/>
        <v>5602081.9500000002</v>
      </c>
      <c r="N26" s="3">
        <f>'[1]Interim Data-Current Month'!T25</f>
        <v>5632127</v>
      </c>
      <c r="O26" s="3">
        <f>'[1]Interim Data-Current Month'!U25/1000</f>
        <v>10277720.577</v>
      </c>
      <c r="P26" s="3">
        <f>'[1]Interim Data-Current Month'!V25</f>
        <v>2204953</v>
      </c>
      <c r="Q26" s="3">
        <f>'[1]Interim Data-Current Month'!W25/1000</f>
        <v>5128946.5990000004</v>
      </c>
      <c r="R26" s="3">
        <f>'[1]Interim Data-Current Month'!X25+'[1]Interim Data-Current Month'!Z25</f>
        <v>2167</v>
      </c>
      <c r="S26" s="3">
        <f>'[1]Interim Data-Current Month'!Y25/1000+'[1]Interim Data-Current Month'!AA25/1000</f>
        <v>25908.580999999998</v>
      </c>
      <c r="T26" s="19">
        <f t="shared" si="2"/>
        <v>7839247</v>
      </c>
      <c r="U26" s="19">
        <f t="shared" si="3"/>
        <v>15432575.756999999</v>
      </c>
    </row>
    <row r="27" spans="2:21" x14ac:dyDescent="0.25">
      <c r="B27" s="8">
        <v>20</v>
      </c>
      <c r="C27" s="2" t="s">
        <v>31</v>
      </c>
      <c r="D27" s="3">
        <f>'[1]Interim Data-Current Month'!C26</f>
        <v>16428971</v>
      </c>
      <c r="E27" s="3">
        <f>'[1]Interim Data-Current Month'!D26</f>
        <v>46582533</v>
      </c>
      <c r="F27" s="3">
        <f>'[1]Interim Data-Current Month'!J26</f>
        <v>32595041</v>
      </c>
      <c r="G27" s="3">
        <f>'[1]Interim Data-Current Month'!K26/1000</f>
        <v>122873654.01100001</v>
      </c>
      <c r="H27" s="3">
        <f>'[1]Interim Data-Current Month'!L26</f>
        <v>28606021</v>
      </c>
      <c r="I27" s="3">
        <f>'[1]Interim Data-Current Month'!M26/1000</f>
        <v>201431280.678</v>
      </c>
      <c r="J27" s="3">
        <f>'[1]Interim Data-Current Month'!N26+'[1]Interim Data-Current Month'!P26</f>
        <v>0</v>
      </c>
      <c r="K27" s="3">
        <f>'[1]Interim Data-Current Month'!O26/1000+'[1]Interim Data-Current Month'!Q26/1000</f>
        <v>0</v>
      </c>
      <c r="L27" s="3">
        <f t="shared" si="0"/>
        <v>61201062</v>
      </c>
      <c r="M27" s="3">
        <f t="shared" si="1"/>
        <v>324304934.68900001</v>
      </c>
      <c r="N27" s="3">
        <f>'[1]Interim Data-Current Month'!T26</f>
        <v>24262461</v>
      </c>
      <c r="O27" s="3">
        <f>'[1]Interim Data-Current Month'!U26/1000</f>
        <v>56484724.395000003</v>
      </c>
      <c r="P27" s="3">
        <f>'[1]Interim Data-Current Month'!V26</f>
        <v>16553392</v>
      </c>
      <c r="Q27" s="3">
        <f>'[1]Interim Data-Current Month'!W26/1000</f>
        <v>43088638.217</v>
      </c>
      <c r="R27" s="3">
        <f>'[1]Interim Data-Current Month'!X26+'[1]Interim Data-Current Month'!Z26</f>
        <v>551589</v>
      </c>
      <c r="S27" s="3">
        <f>'[1]Interim Data-Current Month'!Y26/1000+'[1]Interim Data-Current Month'!AA26/1000</f>
        <v>3156926.8369999998</v>
      </c>
      <c r="T27" s="19">
        <f t="shared" si="2"/>
        <v>41367442</v>
      </c>
      <c r="U27" s="19">
        <f t="shared" si="3"/>
        <v>102730289.449</v>
      </c>
    </row>
    <row r="28" spans="2:21" x14ac:dyDescent="0.25">
      <c r="B28" s="8">
        <v>21</v>
      </c>
      <c r="C28" s="2" t="s">
        <v>32</v>
      </c>
      <c r="D28" s="3">
        <f>'[1]Interim Data-Current Month'!C27</f>
        <v>13937013</v>
      </c>
      <c r="E28" s="3">
        <f>'[1]Interim Data-Current Month'!D27</f>
        <v>35594187</v>
      </c>
      <c r="F28" s="3">
        <f>'[1]Interim Data-Current Month'!J27</f>
        <v>23681939</v>
      </c>
      <c r="G28" s="3">
        <f>'[1]Interim Data-Current Month'!K27/1000</f>
        <v>85946749.746999994</v>
      </c>
      <c r="H28" s="3">
        <f>'[1]Interim Data-Current Month'!L27</f>
        <v>22695833</v>
      </c>
      <c r="I28" s="3">
        <f>'[1]Interim Data-Current Month'!M27/1000</f>
        <v>114759019.641</v>
      </c>
      <c r="J28" s="3">
        <f>'[1]Interim Data-Current Month'!N27+'[1]Interim Data-Current Month'!P27</f>
        <v>0</v>
      </c>
      <c r="K28" s="3">
        <f>'[1]Interim Data-Current Month'!O27/1000+'[1]Interim Data-Current Month'!Q27/1000</f>
        <v>0</v>
      </c>
      <c r="L28" s="3">
        <f t="shared" si="0"/>
        <v>46377772</v>
      </c>
      <c r="M28" s="3">
        <f t="shared" si="1"/>
        <v>200705769.38800001</v>
      </c>
      <c r="N28" s="3">
        <f>'[1]Interim Data-Current Month'!T27</f>
        <v>16447131</v>
      </c>
      <c r="O28" s="3">
        <f>'[1]Interim Data-Current Month'!U27/1000</f>
        <v>40629267.200000003</v>
      </c>
      <c r="P28" s="3">
        <f>'[1]Interim Data-Current Month'!V27</f>
        <v>6494338</v>
      </c>
      <c r="Q28" s="3">
        <f>'[1]Interim Data-Current Month'!W27/1000</f>
        <v>22719151.456999999</v>
      </c>
      <c r="R28" s="3">
        <f>'[1]Interim Data-Current Month'!X27+'[1]Interim Data-Current Month'!Z27</f>
        <v>20148</v>
      </c>
      <c r="S28" s="3">
        <f>'[1]Interim Data-Current Month'!Y27/1000+'[1]Interim Data-Current Month'!AA27/1000</f>
        <v>195125.818</v>
      </c>
      <c r="T28" s="19">
        <f t="shared" si="2"/>
        <v>22961617</v>
      </c>
      <c r="U28" s="19">
        <f t="shared" si="3"/>
        <v>63543544.475000001</v>
      </c>
    </row>
    <row r="29" spans="2:21" x14ac:dyDescent="0.25">
      <c r="B29" s="8">
        <v>22</v>
      </c>
      <c r="C29" s="2" t="s">
        <v>33</v>
      </c>
      <c r="D29" s="3">
        <f>'[1]Interim Data-Current Month'!C28</f>
        <v>42743</v>
      </c>
      <c r="E29" s="3">
        <f>'[1]Interim Data-Current Month'!D28</f>
        <v>12725526</v>
      </c>
      <c r="F29" s="3">
        <f>'[1]Interim Data-Current Month'!J28</f>
        <v>77889</v>
      </c>
      <c r="G29" s="3">
        <f>'[1]Interim Data-Current Month'!K28/1000</f>
        <v>234485.51690000002</v>
      </c>
      <c r="H29" s="3">
        <f>'[1]Interim Data-Current Month'!L28</f>
        <v>49836</v>
      </c>
      <c r="I29" s="3">
        <f>'[1]Interim Data-Current Month'!M28/1000</f>
        <v>173280.02930000002</v>
      </c>
      <c r="J29" s="3">
        <f>'[1]Interim Data-Current Month'!N28+'[1]Interim Data-Current Month'!P28</f>
        <v>0</v>
      </c>
      <c r="K29" s="3">
        <f>'[1]Interim Data-Current Month'!O28/1000+'[1]Interim Data-Current Month'!Q28/1000</f>
        <v>0</v>
      </c>
      <c r="L29" s="3">
        <f t="shared" si="0"/>
        <v>127725</v>
      </c>
      <c r="M29" s="3">
        <f t="shared" si="1"/>
        <v>407765.54620000004</v>
      </c>
      <c r="N29" s="3">
        <f>'[1]Interim Data-Current Month'!T28</f>
        <v>2605827</v>
      </c>
      <c r="O29" s="3">
        <f>'[1]Interim Data-Current Month'!U28/1000</f>
        <v>4937158.0711300047</v>
      </c>
      <c r="P29" s="3">
        <f>'[1]Interim Data-Current Month'!V28</f>
        <v>745658</v>
      </c>
      <c r="Q29" s="3">
        <f>'[1]Interim Data-Current Month'!W28/1000</f>
        <v>1470743.5634199951</v>
      </c>
      <c r="R29" s="3">
        <f>'[1]Interim Data-Current Month'!X28+'[1]Interim Data-Current Month'!Z28</f>
        <v>0</v>
      </c>
      <c r="S29" s="3">
        <f>'[1]Interim Data-Current Month'!Y28/1000+'[1]Interim Data-Current Month'!AA28/1000</f>
        <v>0</v>
      </c>
      <c r="T29" s="19">
        <f t="shared" si="2"/>
        <v>3351485</v>
      </c>
      <c r="U29" s="19">
        <f t="shared" si="3"/>
        <v>6407901.6345499996</v>
      </c>
    </row>
    <row r="30" spans="2:21" x14ac:dyDescent="0.25">
      <c r="B30" s="8">
        <v>23</v>
      </c>
      <c r="C30" s="2" t="s">
        <v>34</v>
      </c>
      <c r="D30" s="3">
        <f>'[1]Interim Data-Current Month'!C29</f>
        <v>1113545</v>
      </c>
      <c r="E30" s="3">
        <f>'[1]Interim Data-Current Month'!D29</f>
        <v>4785111</v>
      </c>
      <c r="F30" s="3">
        <f>'[1]Interim Data-Current Month'!J29</f>
        <v>1677973</v>
      </c>
      <c r="G30" s="3">
        <f>'[1]Interim Data-Current Month'!K29/1000</f>
        <v>5545746.6634799996</v>
      </c>
      <c r="H30" s="3">
        <f>'[1]Interim Data-Current Month'!L29</f>
        <v>1348715</v>
      </c>
      <c r="I30" s="3">
        <f>'[1]Interim Data-Current Month'!M29/1000</f>
        <v>8608663.8571800012</v>
      </c>
      <c r="J30" s="3">
        <f>'[1]Interim Data-Current Month'!N29+'[1]Interim Data-Current Month'!P29</f>
        <v>0</v>
      </c>
      <c r="K30" s="3">
        <f>'[1]Interim Data-Current Month'!O29/1000+'[1]Interim Data-Current Month'!Q29/1000</f>
        <v>0</v>
      </c>
      <c r="L30" s="3">
        <f t="shared" si="0"/>
        <v>3026688</v>
      </c>
      <c r="M30" s="3">
        <f t="shared" si="1"/>
        <v>14154410.520660002</v>
      </c>
      <c r="N30" s="3">
        <f>'[1]Interim Data-Current Month'!T29</f>
        <v>1423273</v>
      </c>
      <c r="O30" s="3">
        <f>'[1]Interim Data-Current Month'!U29/1000</f>
        <v>2181623.0329999998</v>
      </c>
      <c r="P30" s="3">
        <f>'[1]Interim Data-Current Month'!V29</f>
        <v>435684</v>
      </c>
      <c r="Q30" s="3">
        <f>'[1]Interim Data-Current Month'!W29/1000</f>
        <v>1458685.6710000001</v>
      </c>
      <c r="R30" s="3">
        <f>'[1]Interim Data-Current Month'!X29+'[1]Interim Data-Current Month'!Z29</f>
        <v>0</v>
      </c>
      <c r="S30" s="3">
        <f>'[1]Interim Data-Current Month'!Y29/1000+'[1]Interim Data-Current Month'!AA29/1000</f>
        <v>0</v>
      </c>
      <c r="T30" s="19">
        <f t="shared" si="2"/>
        <v>1858957</v>
      </c>
      <c r="U30" s="19">
        <f t="shared" si="3"/>
        <v>3640308.7039999999</v>
      </c>
    </row>
    <row r="31" spans="2:21" x14ac:dyDescent="0.25">
      <c r="B31" s="8">
        <v>24</v>
      </c>
      <c r="C31" s="2" t="s">
        <v>35</v>
      </c>
      <c r="D31" s="3">
        <f>'[1]Interim Data-Current Month'!C30</f>
        <v>1869104</v>
      </c>
      <c r="E31" s="3">
        <f>'[1]Interim Data-Current Month'!D30</f>
        <v>7543316</v>
      </c>
      <c r="F31" s="3">
        <f>'[1]Interim Data-Current Month'!J30</f>
        <v>2578264</v>
      </c>
      <c r="G31" s="3">
        <f>'[1]Interim Data-Current Month'!K30/1000</f>
        <v>10898945.257999999</v>
      </c>
      <c r="H31" s="3">
        <f>'[1]Interim Data-Current Month'!L30</f>
        <v>2671862</v>
      </c>
      <c r="I31" s="3">
        <f>'[1]Interim Data-Current Month'!M30/1000</f>
        <v>36800265.976999998</v>
      </c>
      <c r="J31" s="3">
        <f>'[1]Interim Data-Current Month'!N30+'[1]Interim Data-Current Month'!P30</f>
        <v>0</v>
      </c>
      <c r="K31" s="3">
        <f>'[1]Interim Data-Current Month'!O30/1000+'[1]Interim Data-Current Month'!Q30/1000</f>
        <v>0</v>
      </c>
      <c r="L31" s="3">
        <f t="shared" si="0"/>
        <v>5250126</v>
      </c>
      <c r="M31" s="3">
        <f t="shared" si="1"/>
        <v>47699211.234999999</v>
      </c>
      <c r="N31" s="3">
        <f>'[1]Interim Data-Current Month'!T30</f>
        <v>1639256</v>
      </c>
      <c r="O31" s="3">
        <f>'[1]Interim Data-Current Month'!U30/1000</f>
        <v>3396672.673</v>
      </c>
      <c r="P31" s="3">
        <f>'[1]Interim Data-Current Month'!V30</f>
        <v>982947</v>
      </c>
      <c r="Q31" s="3">
        <f>'[1]Interim Data-Current Month'!W30/1000</f>
        <v>3029094.429</v>
      </c>
      <c r="R31" s="3">
        <f>'[1]Interim Data-Current Month'!X30+'[1]Interim Data-Current Month'!Z30</f>
        <v>962</v>
      </c>
      <c r="S31" s="3">
        <f>'[1]Interim Data-Current Month'!Y30/1000+'[1]Interim Data-Current Month'!AA30/1000</f>
        <v>55860.756299999994</v>
      </c>
      <c r="T31" s="19">
        <f t="shared" si="2"/>
        <v>2623165</v>
      </c>
      <c r="U31" s="19">
        <f t="shared" si="3"/>
        <v>6481627.8583000004</v>
      </c>
    </row>
    <row r="32" spans="2:21" x14ac:dyDescent="0.25">
      <c r="B32" s="8">
        <v>25</v>
      </c>
      <c r="C32" s="2" t="s">
        <v>36</v>
      </c>
      <c r="D32" s="3">
        <f>'[1]Interim Data-Current Month'!C31</f>
        <v>81315</v>
      </c>
      <c r="E32" s="3">
        <f>'[1]Interim Data-Current Month'!D31</f>
        <v>3623676</v>
      </c>
      <c r="F32" s="3">
        <f>'[1]Interim Data-Current Month'!J31</f>
        <v>128776</v>
      </c>
      <c r="G32" s="3">
        <f>'[1]Interim Data-Current Month'!K31/1000</f>
        <v>811890.62714</v>
      </c>
      <c r="H32" s="3">
        <f>'[1]Interim Data-Current Month'!L31</f>
        <v>113216</v>
      </c>
      <c r="I32" s="3">
        <f>'[1]Interim Data-Current Month'!M31/1000</f>
        <v>287369.95624999999</v>
      </c>
      <c r="J32" s="3">
        <f>'[1]Interim Data-Current Month'!N31+'[1]Interim Data-Current Month'!P31</f>
        <v>0</v>
      </c>
      <c r="K32" s="3">
        <f>'[1]Interim Data-Current Month'!O31/1000+'[1]Interim Data-Current Month'!Q31/1000</f>
        <v>0</v>
      </c>
      <c r="L32" s="3">
        <f t="shared" si="0"/>
        <v>241992</v>
      </c>
      <c r="M32" s="3">
        <f t="shared" si="1"/>
        <v>1099260.58339</v>
      </c>
      <c r="N32" s="3">
        <f>'[1]Interim Data-Current Month'!T31</f>
        <v>1136913</v>
      </c>
      <c r="O32" s="3">
        <f>'[1]Interim Data-Current Month'!U31/1000</f>
        <v>2573089.15533</v>
      </c>
      <c r="P32" s="3">
        <f>'[1]Interim Data-Current Month'!V31</f>
        <v>3390549</v>
      </c>
      <c r="Q32" s="3">
        <f>'[1]Interim Data-Current Month'!W31/1000</f>
        <v>1477630.8802400001</v>
      </c>
      <c r="R32" s="3">
        <f>'[1]Interim Data-Current Month'!X31+'[1]Interim Data-Current Month'!Z31</f>
        <v>0</v>
      </c>
      <c r="S32" s="3">
        <f>'[1]Interim Data-Current Month'!Y31/1000+'[1]Interim Data-Current Month'!AA31/1000</f>
        <v>0</v>
      </c>
      <c r="T32" s="19">
        <f t="shared" si="2"/>
        <v>4527462</v>
      </c>
      <c r="U32" s="19">
        <f t="shared" si="3"/>
        <v>4050720.0355700003</v>
      </c>
    </row>
    <row r="33" spans="1:21" x14ac:dyDescent="0.25">
      <c r="B33" s="8">
        <v>26</v>
      </c>
      <c r="C33" s="2" t="s">
        <v>37</v>
      </c>
      <c r="D33" s="3">
        <f>'[1]Interim Data-Current Month'!C32</f>
        <v>0</v>
      </c>
      <c r="E33" s="3">
        <f>'[1]Interim Data-Current Month'!D32</f>
        <v>5196347</v>
      </c>
      <c r="F33" s="3">
        <f>'[1]Interim Data-Current Month'!J32</f>
        <v>0</v>
      </c>
      <c r="G33" s="3">
        <f>'[1]Interim Data-Current Month'!K32/1000</f>
        <v>0</v>
      </c>
      <c r="H33" s="3">
        <f>'[1]Interim Data-Current Month'!L32</f>
        <v>0</v>
      </c>
      <c r="I33" s="3">
        <f>'[1]Interim Data-Current Month'!M32/1000</f>
        <v>0</v>
      </c>
      <c r="J33" s="3">
        <f>'[1]Interim Data-Current Month'!N32+'[1]Interim Data-Current Month'!P32</f>
        <v>0</v>
      </c>
      <c r="K33" s="3">
        <f>'[1]Interim Data-Current Month'!O32/1000+'[1]Interim Data-Current Month'!Q32/1000</f>
        <v>0</v>
      </c>
      <c r="L33" s="3">
        <f t="shared" si="0"/>
        <v>0</v>
      </c>
      <c r="M33" s="3">
        <f t="shared" si="1"/>
        <v>0</v>
      </c>
      <c r="N33" s="3">
        <f>'[1]Interim Data-Current Month'!T32</f>
        <v>1864590</v>
      </c>
      <c r="O33" s="3">
        <f>'[1]Interim Data-Current Month'!U32/1000</f>
        <v>2666638.0622399999</v>
      </c>
      <c r="P33" s="3">
        <f>'[1]Interim Data-Current Month'!V32</f>
        <v>336545</v>
      </c>
      <c r="Q33" s="3">
        <f>'[1]Interim Data-Current Month'!W32/1000</f>
        <v>562606.37682</v>
      </c>
      <c r="R33" s="3">
        <f>'[1]Interim Data-Current Month'!X32+'[1]Interim Data-Current Month'!Z32</f>
        <v>0</v>
      </c>
      <c r="S33" s="3">
        <f>'[1]Interim Data-Current Month'!Y32/1000+'[1]Interim Data-Current Month'!AA32/1000</f>
        <v>0</v>
      </c>
      <c r="T33" s="19">
        <f t="shared" si="2"/>
        <v>2201135</v>
      </c>
      <c r="U33" s="19">
        <f t="shared" si="3"/>
        <v>3229244.4390599998</v>
      </c>
    </row>
    <row r="34" spans="1:21" x14ac:dyDescent="0.25">
      <c r="B34" s="8">
        <v>27</v>
      </c>
      <c r="C34" s="2" t="s">
        <v>38</v>
      </c>
      <c r="D34" s="3">
        <f>'[1]Interim Data-Current Month'!C33</f>
        <v>9934</v>
      </c>
      <c r="E34" s="3">
        <f>'[1]Interim Data-Current Month'!D33</f>
        <v>3957336</v>
      </c>
      <c r="F34" s="3">
        <f>'[1]Interim Data-Current Month'!J33</f>
        <v>20274</v>
      </c>
      <c r="G34" s="3">
        <f>'[1]Interim Data-Current Month'!K33/1000</f>
        <v>117029.2595</v>
      </c>
      <c r="H34" s="3">
        <f>'[1]Interim Data-Current Month'!L33</f>
        <v>5984</v>
      </c>
      <c r="I34" s="3">
        <f>'[1]Interim Data-Current Month'!M33/1000</f>
        <v>65753.84332</v>
      </c>
      <c r="J34" s="3">
        <f>'[1]Interim Data-Current Month'!N33+'[1]Interim Data-Current Month'!P33</f>
        <v>0</v>
      </c>
      <c r="K34" s="3">
        <f>'[1]Interim Data-Current Month'!O33/1000+'[1]Interim Data-Current Month'!Q33/1000</f>
        <v>0</v>
      </c>
      <c r="L34" s="3">
        <f t="shared" si="0"/>
        <v>26258</v>
      </c>
      <c r="M34" s="3">
        <f t="shared" si="1"/>
        <v>182783.10282</v>
      </c>
      <c r="N34" s="3">
        <f>'[1]Interim Data-Current Month'!T33</f>
        <v>1986944</v>
      </c>
      <c r="O34" s="3">
        <f>'[1]Interim Data-Current Month'!U33/1000</f>
        <v>4098996.86</v>
      </c>
      <c r="P34" s="3">
        <f>'[1]Interim Data-Current Month'!V33</f>
        <v>397820</v>
      </c>
      <c r="Q34" s="3">
        <f>'[1]Interim Data-Current Month'!W33/1000</f>
        <v>1088506.442</v>
      </c>
      <c r="R34" s="3">
        <f>'[1]Interim Data-Current Month'!X33+'[1]Interim Data-Current Month'!Z33</f>
        <v>10171</v>
      </c>
      <c r="S34" s="3">
        <f>'[1]Interim Data-Current Month'!Y33/1000+'[1]Interim Data-Current Month'!AA33/1000</f>
        <v>218365.85500000001</v>
      </c>
      <c r="T34" s="19">
        <f t="shared" si="2"/>
        <v>2394935</v>
      </c>
      <c r="U34" s="19">
        <f t="shared" si="3"/>
        <v>5405869.1569999997</v>
      </c>
    </row>
    <row r="35" spans="1:21" x14ac:dyDescent="0.25">
      <c r="B35" s="8">
        <v>28</v>
      </c>
      <c r="C35" s="2" t="s">
        <v>39</v>
      </c>
      <c r="D35" s="3">
        <f>'[1]Interim Data-Current Month'!C34</f>
        <v>4107595</v>
      </c>
      <c r="E35" s="3">
        <f>'[1]Interim Data-Current Month'!D34</f>
        <v>25526683</v>
      </c>
      <c r="F35" s="3">
        <f>'[1]Interim Data-Current Month'!J34</f>
        <v>4737029</v>
      </c>
      <c r="G35" s="3">
        <f>'[1]Interim Data-Current Month'!K34/1000</f>
        <v>15075331.342</v>
      </c>
      <c r="H35" s="3">
        <f>'[1]Interim Data-Current Month'!L34</f>
        <v>3832617</v>
      </c>
      <c r="I35" s="3">
        <f>'[1]Interim Data-Current Month'!M34/1000</f>
        <v>23021366.899999999</v>
      </c>
      <c r="J35" s="3">
        <f>'[1]Interim Data-Current Month'!N34+'[1]Interim Data-Current Month'!P34</f>
        <v>0</v>
      </c>
      <c r="K35" s="3">
        <f>'[1]Interim Data-Current Month'!O34/1000+'[1]Interim Data-Current Month'!Q34/1000</f>
        <v>0</v>
      </c>
      <c r="L35" s="3">
        <f t="shared" si="0"/>
        <v>8569646</v>
      </c>
      <c r="M35" s="3">
        <f t="shared" si="1"/>
        <v>38096698.241999999</v>
      </c>
      <c r="N35" s="3">
        <f>'[1]Interim Data-Current Month'!T34</f>
        <v>5034956</v>
      </c>
      <c r="O35" s="3">
        <f>'[1]Interim Data-Current Month'!U34/1000</f>
        <v>9144963.2630000003</v>
      </c>
      <c r="P35" s="3">
        <f>'[1]Interim Data-Current Month'!V34</f>
        <v>3802259</v>
      </c>
      <c r="Q35" s="3">
        <f>'[1]Interim Data-Current Month'!W34/1000</f>
        <v>8643113.9890000001</v>
      </c>
      <c r="R35" s="3">
        <f>'[1]Interim Data-Current Month'!X34+'[1]Interim Data-Current Month'!Z34</f>
        <v>0</v>
      </c>
      <c r="S35" s="3">
        <f>'[1]Interim Data-Current Month'!Y34/1000+'[1]Interim Data-Current Month'!AA34/1000</f>
        <v>0</v>
      </c>
      <c r="T35" s="19">
        <f t="shared" si="2"/>
        <v>8837215</v>
      </c>
      <c r="U35" s="19">
        <f t="shared" si="3"/>
        <v>17788077.252</v>
      </c>
    </row>
    <row r="36" spans="1:21" x14ac:dyDescent="0.25">
      <c r="B36" s="8">
        <v>29</v>
      </c>
      <c r="C36" s="2" t="s">
        <v>40</v>
      </c>
      <c r="D36" s="3">
        <f>'[1]Interim Data-Current Month'!C35</f>
        <v>4044789</v>
      </c>
      <c r="E36" s="3">
        <f>'[1]Interim Data-Current Month'!D35</f>
        <v>1432029</v>
      </c>
      <c r="F36" s="3">
        <f>'[1]Interim Data-Current Month'!J35</f>
        <v>6038326</v>
      </c>
      <c r="G36" s="3">
        <f>'[1]Interim Data-Current Month'!K35/1000</f>
        <v>21665725.497000001</v>
      </c>
      <c r="H36" s="3">
        <f>'[1]Interim Data-Current Month'!L35</f>
        <v>4076781</v>
      </c>
      <c r="I36" s="3">
        <f>'[1]Interim Data-Current Month'!M35/1000</f>
        <v>24870439.647999998</v>
      </c>
      <c r="J36" s="3">
        <f>'[1]Interim Data-Current Month'!N35+'[1]Interim Data-Current Month'!P35</f>
        <v>0</v>
      </c>
      <c r="K36" s="3">
        <f>'[1]Interim Data-Current Month'!O35/1000+'[1]Interim Data-Current Month'!Q35/1000</f>
        <v>0</v>
      </c>
      <c r="L36" s="3">
        <f t="shared" si="0"/>
        <v>10115107</v>
      </c>
      <c r="M36" s="3">
        <f t="shared" si="1"/>
        <v>46536165.144999996</v>
      </c>
      <c r="N36" s="3">
        <f>'[1]Interim Data-Current Month'!T35</f>
        <v>312464</v>
      </c>
      <c r="O36" s="3">
        <f>'[1]Interim Data-Current Month'!U35/1000</f>
        <v>611480.58689999999</v>
      </c>
      <c r="P36" s="3">
        <f>'[1]Interim Data-Current Month'!V35</f>
        <v>143706</v>
      </c>
      <c r="Q36" s="3">
        <f>'[1]Interim Data-Current Month'!W35/1000</f>
        <v>440062.07380000001</v>
      </c>
      <c r="R36" s="3">
        <f>'[1]Interim Data-Current Month'!X35+'[1]Interim Data-Current Month'!Z35</f>
        <v>128</v>
      </c>
      <c r="S36" s="3">
        <f>'[1]Interim Data-Current Month'!Y35/1000+'[1]Interim Data-Current Month'!AA35/1000</f>
        <v>5777.0479699999996</v>
      </c>
      <c r="T36" s="19">
        <f t="shared" si="2"/>
        <v>456298</v>
      </c>
      <c r="U36" s="19">
        <f t="shared" si="3"/>
        <v>1057319.7086700001</v>
      </c>
    </row>
    <row r="37" spans="1:21" x14ac:dyDescent="0.25">
      <c r="B37" s="8">
        <v>30</v>
      </c>
      <c r="C37" s="2" t="s">
        <v>41</v>
      </c>
      <c r="D37" s="3">
        <f>'[1]Interim Data-Current Month'!C36</f>
        <v>128960</v>
      </c>
      <c r="E37" s="3">
        <f>'[1]Interim Data-Current Month'!D36</f>
        <v>3646976</v>
      </c>
      <c r="F37" s="3">
        <f>'[1]Interim Data-Current Month'!J36</f>
        <v>350957</v>
      </c>
      <c r="G37" s="3">
        <f>'[1]Interim Data-Current Month'!K36/1000</f>
        <v>1076770.0560000001</v>
      </c>
      <c r="H37" s="3">
        <f>'[1]Interim Data-Current Month'!L36</f>
        <v>319554</v>
      </c>
      <c r="I37" s="3">
        <f>'[1]Interim Data-Current Month'!M36/1000</f>
        <v>1816907.6240000001</v>
      </c>
      <c r="J37" s="3">
        <f>'[1]Interim Data-Current Month'!N36+'[1]Interim Data-Current Month'!P36</f>
        <v>0</v>
      </c>
      <c r="K37" s="3">
        <f>'[1]Interim Data-Current Month'!O36/1000+'[1]Interim Data-Current Month'!Q36/1000</f>
        <v>0</v>
      </c>
      <c r="L37" s="3">
        <f t="shared" si="0"/>
        <v>670511</v>
      </c>
      <c r="M37" s="3">
        <f t="shared" si="1"/>
        <v>2893677.68</v>
      </c>
      <c r="N37" s="3">
        <f>'[1]Interim Data-Current Month'!T36</f>
        <v>1979183</v>
      </c>
      <c r="O37" s="3">
        <f>'[1]Interim Data-Current Month'!U36/1000</f>
        <v>3708492.6329999999</v>
      </c>
      <c r="P37" s="3">
        <f>'[1]Interim Data-Current Month'!V36</f>
        <v>405185</v>
      </c>
      <c r="Q37" s="3">
        <f>'[1]Interim Data-Current Month'!W36/1000</f>
        <v>1010768.205</v>
      </c>
      <c r="R37" s="3">
        <f>'[1]Interim Data-Current Month'!X36+'[1]Interim Data-Current Month'!Z36</f>
        <v>0</v>
      </c>
      <c r="S37" s="3">
        <f>'[1]Interim Data-Current Month'!Y36/1000+'[1]Interim Data-Current Month'!AA36/1000</f>
        <v>0</v>
      </c>
      <c r="T37" s="19">
        <f t="shared" si="2"/>
        <v>2384368</v>
      </c>
      <c r="U37" s="19">
        <f t="shared" si="3"/>
        <v>4719260.8379999995</v>
      </c>
    </row>
    <row r="38" spans="1:21" x14ac:dyDescent="0.25">
      <c r="B38" s="8">
        <v>31</v>
      </c>
      <c r="C38" s="2" t="s">
        <v>42</v>
      </c>
      <c r="D38" s="3">
        <f>'[1]Interim Data-Current Month'!C37</f>
        <v>40979</v>
      </c>
      <c r="E38" s="3">
        <f>'[1]Interim Data-Current Month'!D37</f>
        <v>2105582</v>
      </c>
      <c r="F38" s="3">
        <f>'[1]Interim Data-Current Month'!J37</f>
        <v>50184</v>
      </c>
      <c r="G38" s="3">
        <f>'[1]Interim Data-Current Month'!K37/1000</f>
        <v>212433.28700000001</v>
      </c>
      <c r="H38" s="3">
        <f>'[1]Interim Data-Current Month'!L37</f>
        <v>21084</v>
      </c>
      <c r="I38" s="3">
        <f>'[1]Interim Data-Current Month'!M37/1000</f>
        <v>106147.304</v>
      </c>
      <c r="J38" s="3">
        <f>'[1]Interim Data-Current Month'!N37+'[1]Interim Data-Current Month'!P37</f>
        <v>0</v>
      </c>
      <c r="K38" s="3">
        <f>'[1]Interim Data-Current Month'!O37/1000+'[1]Interim Data-Current Month'!Q37/1000</f>
        <v>0</v>
      </c>
      <c r="L38" s="3">
        <f t="shared" si="0"/>
        <v>71268</v>
      </c>
      <c r="M38" s="3">
        <f t="shared" si="1"/>
        <v>318580.59100000001</v>
      </c>
      <c r="N38" s="3">
        <f>'[1]Interim Data-Current Month'!T37</f>
        <v>497077</v>
      </c>
      <c r="O38" s="3">
        <f>'[1]Interim Data-Current Month'!U37/1000</f>
        <v>1088680.45621</v>
      </c>
      <c r="P38" s="3">
        <f>'[1]Interim Data-Current Month'!V37</f>
        <v>134404</v>
      </c>
      <c r="Q38" s="3">
        <f>'[1]Interim Data-Current Month'!W37/1000</f>
        <v>225927.86925999998</v>
      </c>
      <c r="R38" s="3">
        <f>'[1]Interim Data-Current Month'!X37+'[1]Interim Data-Current Month'!Z37</f>
        <v>125</v>
      </c>
      <c r="S38" s="3">
        <f>'[1]Interim Data-Current Month'!Y37/1000+'[1]Interim Data-Current Month'!AA37/1000</f>
        <v>356.43700000000001</v>
      </c>
      <c r="T38" s="19">
        <f t="shared" si="2"/>
        <v>631606</v>
      </c>
      <c r="U38" s="19">
        <f t="shared" si="3"/>
        <v>1314964.76247</v>
      </c>
    </row>
    <row r="39" spans="1:21" x14ac:dyDescent="0.25">
      <c r="B39" s="8">
        <v>32</v>
      </c>
      <c r="C39" s="2" t="s">
        <v>43</v>
      </c>
      <c r="D39" s="3">
        <f>'[1]Interim Data-Current Month'!C38</f>
        <v>1246243</v>
      </c>
      <c r="E39" s="3">
        <f>'[1]Interim Data-Current Month'!D38</f>
        <v>4046276</v>
      </c>
      <c r="F39" s="3">
        <f>'[1]Interim Data-Current Month'!J38</f>
        <v>1758113</v>
      </c>
      <c r="G39" s="3">
        <f>'[1]Interim Data-Current Month'!K38/1000</f>
        <v>5155611.8566000005</v>
      </c>
      <c r="H39" s="3">
        <f>'[1]Interim Data-Current Month'!L38</f>
        <v>1074701</v>
      </c>
      <c r="I39" s="3">
        <f>'[1]Interim Data-Current Month'!M38/1000</f>
        <v>6975967.9429399995</v>
      </c>
      <c r="J39" s="3">
        <f>'[1]Interim Data-Current Month'!N38+'[1]Interim Data-Current Month'!P38</f>
        <v>0</v>
      </c>
      <c r="K39" s="3">
        <f>'[1]Interim Data-Current Month'!O38/1000+'[1]Interim Data-Current Month'!Q38/1000</f>
        <v>0</v>
      </c>
      <c r="L39" s="3">
        <f t="shared" si="0"/>
        <v>2832814</v>
      </c>
      <c r="M39" s="3">
        <f t="shared" si="1"/>
        <v>12131579.79954</v>
      </c>
      <c r="N39" s="3">
        <f>'[1]Interim Data-Current Month'!T38</f>
        <v>1286833</v>
      </c>
      <c r="O39" s="3">
        <f>'[1]Interim Data-Current Month'!U38/1000</f>
        <v>2454511.8759699999</v>
      </c>
      <c r="P39" s="3">
        <f>'[1]Interim Data-Current Month'!V38</f>
        <v>670589</v>
      </c>
      <c r="Q39" s="3">
        <f>'[1]Interim Data-Current Month'!W38/1000</f>
        <v>1584327.5107400001</v>
      </c>
      <c r="R39" s="3">
        <f>'[1]Interim Data-Current Month'!X38+'[1]Interim Data-Current Month'!Z38</f>
        <v>53</v>
      </c>
      <c r="S39" s="3">
        <f>'[1]Interim Data-Current Month'!Y38/1000+'[1]Interim Data-Current Month'!AA38/1000</f>
        <v>837.38099999999997</v>
      </c>
      <c r="T39" s="19">
        <f t="shared" si="2"/>
        <v>1957475</v>
      </c>
      <c r="U39" s="19">
        <f t="shared" si="3"/>
        <v>4039676.7677100003</v>
      </c>
    </row>
    <row r="40" spans="1:21" x14ac:dyDescent="0.25">
      <c r="B40" s="5" t="s">
        <v>44</v>
      </c>
      <c r="C40" s="10"/>
      <c r="D40" s="1"/>
      <c r="E40" s="1"/>
      <c r="F40" s="1"/>
      <c r="G40" s="3"/>
      <c r="H40" s="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19"/>
      <c r="U40" s="19"/>
    </row>
    <row r="41" spans="1:21" x14ac:dyDescent="0.25">
      <c r="B41" s="8">
        <v>33</v>
      </c>
      <c r="C41" s="2" t="s">
        <v>45</v>
      </c>
      <c r="D41" s="3">
        <f>'[1]Interim Data-Current Month'!C39</f>
        <v>1353402</v>
      </c>
      <c r="E41" s="3">
        <f>'[1]Interim Data-Current Month'!D39</f>
        <v>0</v>
      </c>
      <c r="F41" s="3">
        <f>'[1]Interim Data-Current Month'!J39</f>
        <v>966362</v>
      </c>
      <c r="G41" s="3">
        <f>'[1]Interim Data-Current Month'!K39/1000</f>
        <v>7054444.9160000002</v>
      </c>
      <c r="H41" s="3">
        <f>'[1]Interim Data-Current Month'!L39</f>
        <v>3218916</v>
      </c>
      <c r="I41" s="3">
        <f>'[1]Interim Data-Current Month'!M39/1000</f>
        <v>23895948.094000001</v>
      </c>
      <c r="J41" s="3">
        <f>'[1]Interim Data-Current Month'!N39+'[1]Interim Data-Current Month'!P39</f>
        <v>0</v>
      </c>
      <c r="K41" s="3">
        <f>'[1]Interim Data-Current Month'!O39/1000+'[1]Interim Data-Current Month'!Q39/1000</f>
        <v>0</v>
      </c>
      <c r="L41" s="3">
        <f t="shared" si="0"/>
        <v>4185278</v>
      </c>
      <c r="M41" s="3">
        <f t="shared" si="1"/>
        <v>30950393.010000002</v>
      </c>
      <c r="N41" s="3">
        <f>'[1]Interim Data-Current Month'!T39</f>
        <v>0</v>
      </c>
      <c r="O41" s="3">
        <f>'[1]Interim Data-Current Month'!U39/1000</f>
        <v>0</v>
      </c>
      <c r="P41" s="3">
        <f>'[1]Interim Data-Current Month'!V39</f>
        <v>0</v>
      </c>
      <c r="Q41" s="3">
        <f>'[1]Interim Data-Current Month'!W39/1000</f>
        <v>0</v>
      </c>
      <c r="R41" s="3">
        <f>'[1]Interim Data-Current Month'!X39+'[1]Interim Data-Current Month'!Z39</f>
        <v>0</v>
      </c>
      <c r="S41" s="3">
        <f>'[1]Interim Data-Current Month'!Y39/1000+'[1]Interim Data-Current Month'!AA39/1000</f>
        <v>0</v>
      </c>
      <c r="T41" s="19">
        <f t="shared" si="2"/>
        <v>0</v>
      </c>
      <c r="U41" s="19">
        <f t="shared" si="3"/>
        <v>0</v>
      </c>
    </row>
    <row r="42" spans="1:21" x14ac:dyDescent="0.25">
      <c r="B42" s="8">
        <v>34</v>
      </c>
      <c r="C42" s="2" t="s">
        <v>46</v>
      </c>
      <c r="D42" s="3">
        <f>'[1]Interim Data-Current Month'!C40</f>
        <v>19589</v>
      </c>
      <c r="E42" s="3">
        <f>'[1]Interim Data-Current Month'!D40</f>
        <v>0</v>
      </c>
      <c r="F42" s="3">
        <f>'[1]Interim Data-Current Month'!J40</f>
        <v>26838</v>
      </c>
      <c r="G42" s="3">
        <f>'[1]Interim Data-Current Month'!K40/1000</f>
        <v>117216.01937000001</v>
      </c>
      <c r="H42" s="3">
        <f>'[1]Interim Data-Current Month'!L40</f>
        <v>13693</v>
      </c>
      <c r="I42" s="3">
        <f>'[1]Interim Data-Current Month'!M40/1000</f>
        <v>185893.22893000001</v>
      </c>
      <c r="J42" s="3">
        <f>'[1]Interim Data-Current Month'!N40+'[1]Interim Data-Current Month'!P40</f>
        <v>0</v>
      </c>
      <c r="K42" s="3">
        <f>'[1]Interim Data-Current Month'!O40/1000+'[1]Interim Data-Current Month'!Q40/1000</f>
        <v>0</v>
      </c>
      <c r="L42" s="3">
        <f t="shared" si="0"/>
        <v>40531</v>
      </c>
      <c r="M42" s="3">
        <f t="shared" si="1"/>
        <v>303109.24830000004</v>
      </c>
      <c r="N42" s="3">
        <f>'[1]Interim Data-Current Month'!T40</f>
        <v>0</v>
      </c>
      <c r="O42" s="3">
        <f>'[1]Interim Data-Current Month'!U40/1000</f>
        <v>0</v>
      </c>
      <c r="P42" s="3">
        <f>'[1]Interim Data-Current Month'!V40</f>
        <v>0</v>
      </c>
      <c r="Q42" s="3">
        <f>'[1]Interim Data-Current Month'!W40/1000</f>
        <v>0</v>
      </c>
      <c r="R42" s="3">
        <f>'[1]Interim Data-Current Month'!X40+'[1]Interim Data-Current Month'!Z40</f>
        <v>0</v>
      </c>
      <c r="S42" s="3">
        <f>'[1]Interim Data-Current Month'!Y40/1000+'[1]Interim Data-Current Month'!AA40/1000</f>
        <v>0</v>
      </c>
      <c r="T42" s="19">
        <f t="shared" si="2"/>
        <v>0</v>
      </c>
      <c r="U42" s="19">
        <f t="shared" si="3"/>
        <v>0</v>
      </c>
    </row>
    <row r="43" spans="1:21" x14ac:dyDescent="0.25">
      <c r="B43" s="8">
        <v>35</v>
      </c>
      <c r="C43" s="2" t="s">
        <v>47</v>
      </c>
      <c r="D43" s="3">
        <f>'[1]Interim Data-Current Month'!C41</f>
        <v>0</v>
      </c>
      <c r="E43" s="3">
        <f>'[1]Interim Data-Current Month'!D41</f>
        <v>1650</v>
      </c>
      <c r="F43" s="3">
        <f>'[1]Interim Data-Current Month'!J41</f>
        <v>0</v>
      </c>
      <c r="G43" s="3">
        <f>'[1]Interim Data-Current Month'!K41/1000</f>
        <v>0</v>
      </c>
      <c r="H43" s="3">
        <f>'[1]Interim Data-Current Month'!L41</f>
        <v>0</v>
      </c>
      <c r="I43" s="3">
        <f>'[1]Interim Data-Current Month'!M41/1000</f>
        <v>0</v>
      </c>
      <c r="J43" s="3">
        <f>'[1]Interim Data-Current Month'!N41+'[1]Interim Data-Current Month'!P41</f>
        <v>0</v>
      </c>
      <c r="K43" s="3">
        <f>'[1]Interim Data-Current Month'!O41/1000+'[1]Interim Data-Current Month'!Q41/1000</f>
        <v>0</v>
      </c>
      <c r="L43" s="3">
        <f t="shared" si="0"/>
        <v>0</v>
      </c>
      <c r="M43" s="3">
        <f t="shared" si="1"/>
        <v>0</v>
      </c>
      <c r="N43" s="3">
        <f>'[1]Interim Data-Current Month'!T41</f>
        <v>25</v>
      </c>
      <c r="O43" s="3">
        <f>'[1]Interim Data-Current Month'!U41/1000</f>
        <v>248.19300000000001</v>
      </c>
      <c r="P43" s="3">
        <f>'[1]Interim Data-Current Month'!V41</f>
        <v>8</v>
      </c>
      <c r="Q43" s="3">
        <f>'[1]Interim Data-Current Month'!W41/1000</f>
        <v>3.0510000000000002</v>
      </c>
      <c r="R43" s="3">
        <f>'[1]Interim Data-Current Month'!X41+'[1]Interim Data-Current Month'!Z41</f>
        <v>0</v>
      </c>
      <c r="S43" s="3">
        <f>'[1]Interim Data-Current Month'!Y41/1000+'[1]Interim Data-Current Month'!AA41/1000</f>
        <v>0</v>
      </c>
      <c r="T43" s="19">
        <f t="shared" si="2"/>
        <v>33</v>
      </c>
      <c r="U43" s="19">
        <f t="shared" si="3"/>
        <v>251.244</v>
      </c>
    </row>
    <row r="44" spans="1:21" x14ac:dyDescent="0.25">
      <c r="B44" s="8">
        <v>36</v>
      </c>
      <c r="C44" s="2" t="s">
        <v>48</v>
      </c>
      <c r="D44" s="3">
        <f>'[1]Interim Data-Current Month'!C42</f>
        <v>2561253</v>
      </c>
      <c r="E44" s="3">
        <f>'[1]Interim Data-Current Month'!D42</f>
        <v>1331815</v>
      </c>
      <c r="F44" s="3">
        <f>'[1]Interim Data-Current Month'!J42</f>
        <v>7770130</v>
      </c>
      <c r="G44" s="3">
        <f>'[1]Interim Data-Current Month'!K42/1000</f>
        <v>21286154.688767087</v>
      </c>
      <c r="H44" s="3">
        <f>'[1]Interim Data-Current Month'!L42</f>
        <v>5206147</v>
      </c>
      <c r="I44" s="3">
        <f>'[1]Interim Data-Current Month'!M42/1000</f>
        <v>21726056.432522856</v>
      </c>
      <c r="J44" s="3">
        <f>'[1]Interim Data-Current Month'!N42+'[1]Interim Data-Current Month'!P42</f>
        <v>0</v>
      </c>
      <c r="K44" s="3">
        <f>'[1]Interim Data-Current Month'!O42/1000+'[1]Interim Data-Current Month'!Q42/1000</f>
        <v>0</v>
      </c>
      <c r="L44" s="3">
        <f t="shared" si="0"/>
        <v>12976277</v>
      </c>
      <c r="M44" s="3">
        <f t="shared" si="1"/>
        <v>43012211.121289939</v>
      </c>
      <c r="N44" s="3">
        <f>'[1]Interim Data-Current Month'!T42</f>
        <v>995684</v>
      </c>
      <c r="O44" s="3">
        <f>'[1]Interim Data-Current Month'!U42/1000</f>
        <v>2466309.6651999992</v>
      </c>
      <c r="P44" s="3">
        <f>'[1]Interim Data-Current Month'!V42</f>
        <v>1005905</v>
      </c>
      <c r="Q44" s="3">
        <f>'[1]Interim Data-Current Month'!W42/1000</f>
        <v>2823867.4807699993</v>
      </c>
      <c r="R44" s="3">
        <f>'[1]Interim Data-Current Month'!X42+'[1]Interim Data-Current Month'!Z42</f>
        <v>0</v>
      </c>
      <c r="S44" s="3">
        <f>'[1]Interim Data-Current Month'!Y42/1000+'[1]Interim Data-Current Month'!AA42/1000</f>
        <v>0</v>
      </c>
      <c r="T44" s="19">
        <f t="shared" si="2"/>
        <v>2001589</v>
      </c>
      <c r="U44" s="19">
        <f t="shared" si="3"/>
        <v>5290177.1459699981</v>
      </c>
    </row>
    <row r="45" spans="1:21" x14ac:dyDescent="0.25">
      <c r="B45" s="8">
        <v>37</v>
      </c>
      <c r="C45" s="2" t="s">
        <v>49</v>
      </c>
      <c r="D45" s="3">
        <f>'[1]Interim Data-Current Month'!C43</f>
        <v>52882</v>
      </c>
      <c r="E45" s="3">
        <f>'[1]Interim Data-Current Month'!D43</f>
        <v>1977414</v>
      </c>
      <c r="F45" s="3">
        <f>'[1]Interim Data-Current Month'!J43</f>
        <v>56572</v>
      </c>
      <c r="G45" s="3">
        <f>'[1]Interim Data-Current Month'!K43/1000</f>
        <v>185644.27187</v>
      </c>
      <c r="H45" s="3">
        <f>'[1]Interim Data-Current Month'!L43</f>
        <v>42323</v>
      </c>
      <c r="I45" s="3">
        <f>'[1]Interim Data-Current Month'!M43/1000</f>
        <v>298853.69774000003</v>
      </c>
      <c r="J45" s="3">
        <f>'[1]Interim Data-Current Month'!N43+'[1]Interim Data-Current Month'!P43</f>
        <v>0</v>
      </c>
      <c r="K45" s="3">
        <f>'[1]Interim Data-Current Month'!O43/1000+'[1]Interim Data-Current Month'!Q43/1000</f>
        <v>0</v>
      </c>
      <c r="L45" s="3">
        <f t="shared" si="0"/>
        <v>98895</v>
      </c>
      <c r="M45" s="3">
        <f t="shared" si="1"/>
        <v>484497.96961000003</v>
      </c>
      <c r="N45" s="3">
        <f>'[1]Interim Data-Current Month'!T43</f>
        <v>617754</v>
      </c>
      <c r="O45" s="3">
        <f>'[1]Interim Data-Current Month'!U43/1000</f>
        <v>935612.47779999999</v>
      </c>
      <c r="P45" s="3">
        <f>'[1]Interim Data-Current Month'!V43</f>
        <v>257745</v>
      </c>
      <c r="Q45" s="3">
        <f>'[1]Interim Data-Current Month'!W43/1000</f>
        <v>458512.30020999996</v>
      </c>
      <c r="R45" s="3">
        <f>'[1]Interim Data-Current Month'!X43+'[1]Interim Data-Current Month'!Z43</f>
        <v>467</v>
      </c>
      <c r="S45" s="3">
        <f>'[1]Interim Data-Current Month'!Y43/1000+'[1]Interim Data-Current Month'!AA43/1000</f>
        <v>6716.1679999999997</v>
      </c>
      <c r="T45" s="19">
        <f t="shared" si="2"/>
        <v>875966</v>
      </c>
      <c r="U45" s="19">
        <f t="shared" si="3"/>
        <v>1400840.9460100001</v>
      </c>
    </row>
    <row r="46" spans="1:21" x14ac:dyDescent="0.25">
      <c r="B46" s="8">
        <v>38</v>
      </c>
      <c r="C46" s="2" t="s">
        <v>50</v>
      </c>
      <c r="D46" s="3">
        <f>'[1]Interim Data-Current Month'!C44</f>
        <v>0</v>
      </c>
      <c r="E46" s="3">
        <f>'[1]Interim Data-Current Month'!D44</f>
        <v>118747</v>
      </c>
      <c r="F46" s="3">
        <f>'[1]Interim Data-Current Month'!J44</f>
        <v>0</v>
      </c>
      <c r="G46" s="3">
        <f>'[1]Interim Data-Current Month'!K44/1000</f>
        <v>0</v>
      </c>
      <c r="H46" s="3">
        <f>'[1]Interim Data-Current Month'!L44</f>
        <v>0</v>
      </c>
      <c r="I46" s="3">
        <f>'[1]Interim Data-Current Month'!M44/1000</f>
        <v>0</v>
      </c>
      <c r="J46" s="3">
        <f>'[1]Interim Data-Current Month'!N44+'[1]Interim Data-Current Month'!P44</f>
        <v>0</v>
      </c>
      <c r="K46" s="3">
        <f>'[1]Interim Data-Current Month'!O44/1000+'[1]Interim Data-Current Month'!Q44/1000</f>
        <v>0</v>
      </c>
      <c r="L46" s="3">
        <f t="shared" si="0"/>
        <v>0</v>
      </c>
      <c r="M46" s="3">
        <f t="shared" si="1"/>
        <v>0</v>
      </c>
      <c r="N46" s="3">
        <f>'[1]Interim Data-Current Month'!T44</f>
        <v>71832</v>
      </c>
      <c r="O46" s="3">
        <f>'[1]Interim Data-Current Month'!U44/1000</f>
        <v>167464.09028999999</v>
      </c>
      <c r="P46" s="3">
        <f>'[1]Interim Data-Current Month'!V44</f>
        <v>19361</v>
      </c>
      <c r="Q46" s="3">
        <f>'[1]Interim Data-Current Month'!W44/1000</f>
        <v>64186.090080000002</v>
      </c>
      <c r="R46" s="3">
        <f>'[1]Interim Data-Current Month'!X44+'[1]Interim Data-Current Month'!Z44</f>
        <v>0</v>
      </c>
      <c r="S46" s="3">
        <f>'[1]Interim Data-Current Month'!Y44/1000+'[1]Interim Data-Current Month'!AA44/1000</f>
        <v>0</v>
      </c>
      <c r="T46" s="19">
        <f t="shared" si="2"/>
        <v>91193</v>
      </c>
      <c r="U46" s="19">
        <f t="shared" si="3"/>
        <v>231650.18036999999</v>
      </c>
    </row>
    <row r="47" spans="1:21" x14ac:dyDescent="0.25">
      <c r="B47" s="8">
        <v>39</v>
      </c>
      <c r="C47" s="2" t="s">
        <v>51</v>
      </c>
      <c r="D47" s="3">
        <f>'[1]Interim Data-Current Month'!C45</f>
        <v>765095</v>
      </c>
      <c r="E47" s="3">
        <f>'[1]Interim Data-Current Month'!D45</f>
        <v>537794</v>
      </c>
      <c r="F47" s="3">
        <f>'[1]Interim Data-Current Month'!J45</f>
        <v>611280</v>
      </c>
      <c r="G47" s="3">
        <f>'[1]Interim Data-Current Month'!K45/1000</f>
        <v>3744955.3936199998</v>
      </c>
      <c r="H47" s="3">
        <f>'[1]Interim Data-Current Month'!L45</f>
        <v>1110080</v>
      </c>
      <c r="I47" s="3">
        <f>'[1]Interim Data-Current Month'!M45/1000</f>
        <v>3791691.3406999996</v>
      </c>
      <c r="J47" s="3">
        <f>'[1]Interim Data-Current Month'!N45+'[1]Interim Data-Current Month'!P45</f>
        <v>0</v>
      </c>
      <c r="K47" s="3">
        <f>'[1]Interim Data-Current Month'!O45/1000+'[1]Interim Data-Current Month'!Q45/1000</f>
        <v>0</v>
      </c>
      <c r="L47" s="3">
        <f t="shared" si="0"/>
        <v>1721360</v>
      </c>
      <c r="M47" s="3">
        <f t="shared" si="1"/>
        <v>7536646.7343199998</v>
      </c>
      <c r="N47" s="3">
        <f>'[1]Interim Data-Current Month'!T45</f>
        <v>374794</v>
      </c>
      <c r="O47" s="3">
        <f>'[1]Interim Data-Current Month'!U45/1000</f>
        <v>1110611.7644100001</v>
      </c>
      <c r="P47" s="3">
        <f>'[1]Interim Data-Current Month'!V45</f>
        <v>0</v>
      </c>
      <c r="Q47" s="3">
        <f>'[1]Interim Data-Current Month'!W45/1000</f>
        <v>0</v>
      </c>
      <c r="R47" s="3">
        <f>'[1]Interim Data-Current Month'!X45+'[1]Interim Data-Current Month'!Z45</f>
        <v>0</v>
      </c>
      <c r="S47" s="3">
        <f>'[1]Interim Data-Current Month'!Y45/1000+'[1]Interim Data-Current Month'!AA45/1000</f>
        <v>0</v>
      </c>
      <c r="T47" s="19">
        <f t="shared" si="2"/>
        <v>374794</v>
      </c>
      <c r="U47" s="19">
        <f t="shared" si="3"/>
        <v>1110611.7644100001</v>
      </c>
    </row>
    <row r="48" spans="1:21" x14ac:dyDescent="0.25">
      <c r="A48" s="11" t="s">
        <v>52</v>
      </c>
      <c r="B48" s="8">
        <v>40</v>
      </c>
      <c r="C48" s="2" t="s">
        <v>53</v>
      </c>
      <c r="D48" s="3">
        <f>'[1]Interim Data-Current Month'!C46</f>
        <v>1222172</v>
      </c>
      <c r="E48" s="3">
        <f>'[1]Interim Data-Current Month'!D46</f>
        <v>248119</v>
      </c>
      <c r="F48" s="3">
        <f>'[1]Interim Data-Current Month'!J46</f>
        <v>458298</v>
      </c>
      <c r="G48" s="3">
        <f>'[1]Interim Data-Current Month'!K46/1000</f>
        <v>2042887.7648625528</v>
      </c>
      <c r="H48" s="3">
        <f>'[1]Interim Data-Current Month'!L46</f>
        <v>1185280</v>
      </c>
      <c r="I48" s="3">
        <f>'[1]Interim Data-Current Month'!M46/1000</f>
        <v>5734958.2818376468</v>
      </c>
      <c r="J48" s="3">
        <f>'[1]Interim Data-Current Month'!N46+'[1]Interim Data-Current Month'!P46</f>
        <v>0</v>
      </c>
      <c r="K48" s="3">
        <f>'[1]Interim Data-Current Month'!O46/1000+'[1]Interim Data-Current Month'!Q46/1000</f>
        <v>0</v>
      </c>
      <c r="L48" s="3">
        <f t="shared" si="0"/>
        <v>1643578</v>
      </c>
      <c r="M48" s="3">
        <f t="shared" si="1"/>
        <v>7777846.0467002001</v>
      </c>
      <c r="N48" s="3">
        <f>'[1]Interim Data-Current Month'!T46</f>
        <v>10088.5</v>
      </c>
      <c r="O48" s="3">
        <f>'[1]Interim Data-Current Month'!U46/1000</f>
        <v>27026.532697500003</v>
      </c>
      <c r="P48" s="3">
        <f>'[1]Interim Data-Current Month'!V46</f>
        <v>28920.5</v>
      </c>
      <c r="Q48" s="3">
        <f>'[1]Interim Data-Current Month'!W46/1000</f>
        <v>77236.610182500008</v>
      </c>
      <c r="R48" s="3">
        <f>'[1]Interim Data-Current Month'!X46+'[1]Interim Data-Current Month'!Z46</f>
        <v>0</v>
      </c>
      <c r="S48" s="3">
        <f>'[1]Interim Data-Current Month'!Y46/1000+'[1]Interim Data-Current Month'!AA46/1000</f>
        <v>0</v>
      </c>
      <c r="T48" s="19">
        <f t="shared" si="2"/>
        <v>39009</v>
      </c>
      <c r="U48" s="19">
        <f t="shared" si="3"/>
        <v>104263.14288000001</v>
      </c>
    </row>
    <row r="49" spans="1:21" x14ac:dyDescent="0.25">
      <c r="B49" s="8">
        <v>41</v>
      </c>
      <c r="C49" s="10" t="s">
        <v>54</v>
      </c>
      <c r="D49" s="3">
        <f>'[1]Interim Data-Current Month'!C47</f>
        <v>1319608</v>
      </c>
      <c r="E49" s="3">
        <f>'[1]Interim Data-Current Month'!D47</f>
        <v>1167038</v>
      </c>
      <c r="F49" s="3">
        <f>'[1]Interim Data-Current Month'!J47</f>
        <v>1880615</v>
      </c>
      <c r="G49" s="3">
        <f>'[1]Interim Data-Current Month'!K47/1000</f>
        <v>5597285.6639999999</v>
      </c>
      <c r="H49" s="3">
        <f>'[1]Interim Data-Current Month'!L47</f>
        <v>1404190</v>
      </c>
      <c r="I49" s="3">
        <f>'[1]Interim Data-Current Month'!M47/1000</f>
        <v>6437526.9249999998</v>
      </c>
      <c r="J49" s="3">
        <f>'[1]Interim Data-Current Month'!N47+'[1]Interim Data-Current Month'!P47</f>
        <v>0</v>
      </c>
      <c r="K49" s="3">
        <f>'[1]Interim Data-Current Month'!O47/1000+'[1]Interim Data-Current Month'!Q47/1000</f>
        <v>0</v>
      </c>
      <c r="L49" s="3">
        <f t="shared" si="0"/>
        <v>3284805</v>
      </c>
      <c r="M49" s="3">
        <f t="shared" si="1"/>
        <v>12034812.589</v>
      </c>
      <c r="N49" s="3">
        <f>'[1]Interim Data-Current Month'!T47</f>
        <v>939559</v>
      </c>
      <c r="O49" s="3">
        <f>'[1]Interim Data-Current Month'!U47/1000</f>
        <v>2289915.7650000001</v>
      </c>
      <c r="P49" s="3">
        <f>'[1]Interim Data-Current Month'!V47</f>
        <v>424743</v>
      </c>
      <c r="Q49" s="3">
        <f>'[1]Interim Data-Current Month'!W47/1000</f>
        <v>895438.09499999997</v>
      </c>
      <c r="R49" s="3">
        <f>'[1]Interim Data-Current Month'!X47+'[1]Interim Data-Current Month'!Z47</f>
        <v>30</v>
      </c>
      <c r="S49" s="3">
        <f>'[1]Interim Data-Current Month'!Y47/1000+'[1]Interim Data-Current Month'!AA47/1000</f>
        <v>532.30600000000004</v>
      </c>
      <c r="T49" s="19">
        <f t="shared" si="2"/>
        <v>1364332</v>
      </c>
      <c r="U49" s="19">
        <f t="shared" si="3"/>
        <v>3185886.1660000002</v>
      </c>
    </row>
    <row r="50" spans="1:21" s="16" customFormat="1" x14ac:dyDescent="0.25">
      <c r="A50" s="15"/>
      <c r="B50" s="5" t="s">
        <v>55</v>
      </c>
      <c r="C50" s="10"/>
      <c r="D50" s="6">
        <f t="shared" ref="D50:K50" si="4">SUM(D7:D49)</f>
        <v>77694539</v>
      </c>
      <c r="E50" s="6">
        <f t="shared" si="4"/>
        <v>855582169</v>
      </c>
      <c r="F50" s="6">
        <f t="shared" si="4"/>
        <v>132605932</v>
      </c>
      <c r="G50" s="6">
        <f t="shared" si="4"/>
        <v>447206042.58174962</v>
      </c>
      <c r="H50" s="6">
        <f t="shared" si="4"/>
        <v>111329602</v>
      </c>
      <c r="I50" s="6">
        <f t="shared" si="4"/>
        <v>671542157.44519043</v>
      </c>
      <c r="J50" s="6">
        <f t="shared" si="4"/>
        <v>3</v>
      </c>
      <c r="K50" s="6">
        <f t="shared" si="4"/>
        <v>53.020629999999997</v>
      </c>
      <c r="L50" s="18">
        <f t="shared" si="0"/>
        <v>243935537</v>
      </c>
      <c r="M50" s="18">
        <f t="shared" si="1"/>
        <v>1118748253.04757</v>
      </c>
      <c r="N50" s="6">
        <f t="shared" ref="N50:S50" si="5">SUM(N7:N49)</f>
        <v>198709372.5</v>
      </c>
      <c r="O50" s="6">
        <f t="shared" si="5"/>
        <v>402059599.56110752</v>
      </c>
      <c r="P50" s="6">
        <f t="shared" si="5"/>
        <v>98862792.5</v>
      </c>
      <c r="Q50" s="6">
        <f t="shared" si="5"/>
        <v>207385754.64573249</v>
      </c>
      <c r="R50" s="6">
        <f t="shared" si="5"/>
        <v>630897</v>
      </c>
      <c r="S50" s="6">
        <f t="shared" si="5"/>
        <v>4462236.2998999991</v>
      </c>
      <c r="T50" s="20">
        <f t="shared" si="2"/>
        <v>298203062</v>
      </c>
      <c r="U50" s="20">
        <f t="shared" si="3"/>
        <v>613907590.50673997</v>
      </c>
    </row>
    <row r="51" spans="1:21" x14ac:dyDescent="0.25">
      <c r="A51" s="17"/>
      <c r="B51" s="7"/>
      <c r="C51" s="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</sheetData>
  <mergeCells count="18">
    <mergeCell ref="D51:S51"/>
    <mergeCell ref="F2:M2"/>
    <mergeCell ref="F3:M3"/>
    <mergeCell ref="N2:U2"/>
    <mergeCell ref="N3:U3"/>
    <mergeCell ref="T4:U4"/>
    <mergeCell ref="D3:D5"/>
    <mergeCell ref="E3:E5"/>
    <mergeCell ref="F4:G4"/>
    <mergeCell ref="H4:I4"/>
    <mergeCell ref="J4:K4"/>
    <mergeCell ref="L4:M4"/>
    <mergeCell ref="N4:O4"/>
    <mergeCell ref="P4:Q4"/>
    <mergeCell ref="R4:S4"/>
    <mergeCell ref="B2:B5"/>
    <mergeCell ref="C2:C5"/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2022 (Revised)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Manas</cp:lastModifiedBy>
  <dcterms:created xsi:type="dcterms:W3CDTF">2022-10-14T05:39:41Z</dcterms:created>
  <dcterms:modified xsi:type="dcterms:W3CDTF">2023-07-18T15:29:41Z</dcterms:modified>
</cp:coreProperties>
</file>