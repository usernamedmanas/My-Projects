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E:\Data Portfolio Project\HDFC Bank Card Transaction Analysis\Excel Files\"/>
    </mc:Choice>
  </mc:AlternateContent>
  <xr:revisionPtr revIDLastSave="0" documentId="13_ncr:1_{3A8B2C99-FA89-40D9-92D6-54AC767D63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vised December 202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8" i="1" l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8" i="1"/>
  <c r="U18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U28" i="1"/>
  <c r="T29" i="1"/>
  <c r="U29" i="1"/>
  <c r="T30" i="1"/>
  <c r="U30" i="1"/>
  <c r="T31" i="1"/>
  <c r="U31" i="1"/>
  <c r="T32" i="1"/>
  <c r="U32" i="1"/>
  <c r="T33" i="1"/>
  <c r="U33" i="1"/>
  <c r="T34" i="1"/>
  <c r="U34" i="1"/>
  <c r="T35" i="1"/>
  <c r="U35" i="1"/>
  <c r="T36" i="1"/>
  <c r="U36" i="1"/>
  <c r="T37" i="1"/>
  <c r="U37" i="1"/>
  <c r="T38" i="1"/>
  <c r="U38" i="1"/>
  <c r="T39" i="1"/>
  <c r="U39" i="1"/>
  <c r="T40" i="1"/>
  <c r="U40" i="1"/>
  <c r="T42" i="1"/>
  <c r="U42" i="1"/>
  <c r="T43" i="1"/>
  <c r="U43" i="1"/>
  <c r="T44" i="1"/>
  <c r="U44" i="1"/>
  <c r="T45" i="1"/>
  <c r="U45" i="1"/>
  <c r="T46" i="1"/>
  <c r="U46" i="1"/>
  <c r="T47" i="1"/>
  <c r="U47" i="1"/>
  <c r="T48" i="1"/>
  <c r="U48" i="1"/>
  <c r="T49" i="1"/>
  <c r="U49" i="1"/>
  <c r="T50" i="1"/>
  <c r="U50" i="1"/>
  <c r="T51" i="1"/>
  <c r="U51" i="1"/>
  <c r="U7" i="1"/>
  <c r="T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M7" i="1"/>
  <c r="L7" i="1"/>
  <c r="I52" i="1"/>
  <c r="S52" i="1"/>
  <c r="U52" i="1" s="1"/>
  <c r="R52" i="1"/>
  <c r="Q52" i="1"/>
  <c r="P52" i="1"/>
  <c r="O52" i="1"/>
  <c r="N52" i="1"/>
  <c r="K52" i="1"/>
  <c r="M52" i="1" s="1"/>
  <c r="J52" i="1"/>
  <c r="H52" i="1"/>
  <c r="G52" i="1"/>
  <c r="F52" i="1"/>
  <c r="L52" i="1" s="1"/>
  <c r="E52" i="1"/>
  <c r="D52" i="1"/>
  <c r="T52" i="1" l="1"/>
</calcChain>
</file>

<file path=xl/sharedStrings.xml><?xml version="1.0" encoding="utf-8"?>
<sst xmlns="http://schemas.openxmlformats.org/spreadsheetml/2006/main" count="78" uniqueCount="64">
  <si>
    <t>Credit Card</t>
  </si>
  <si>
    <t>Debit Card</t>
  </si>
  <si>
    <t>Credit Cards</t>
  </si>
  <si>
    <t>Debit Cards</t>
  </si>
  <si>
    <t>Card Payments Transactions</t>
  </si>
  <si>
    <t>at PoS</t>
  </si>
  <si>
    <t>Online (e-com)</t>
  </si>
  <si>
    <t>Others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</si>
  <si>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</si>
  <si>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</si>
  <si>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</si>
  <si>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</si>
  <si>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</si>
  <si>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</si>
  <si>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</si>
  <si>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</si>
  <si>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</si>
  <si>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</si>
  <si>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</si>
  <si>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</si>
  <si>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</si>
  <si>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</si>
  <si>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</si>
  <si>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</si>
  <si>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</si>
  <si>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</si>
  <si>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</si>
  <si>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</si>
  <si>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</si>
  <si>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</si>
  <si>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</si>
  <si>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</si>
  <si>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</si>
  <si>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</si>
  <si>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</si>
  <si>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</si>
  <si>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</si>
  <si>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</si>
  <si>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</si>
  <si>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</si>
  <si>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</si>
  <si>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</si>
  <si>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</si>
  <si>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</si>
  <si>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</si>
  <si>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</si>
  <si>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</si>
  <si>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</si>
  <si>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</si>
  <si>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</si>
  <si>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</si>
  <si>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 xml:space="preserve"> </t>
  </si>
  <si>
    <t>SBM BANK INDIA LTD</t>
  </si>
  <si>
    <t>STANDARD CHARTERED BANK LTD</t>
  </si>
  <si>
    <t>WOORI BANK</t>
  </si>
  <si>
    <t>Total</t>
  </si>
  <si>
    <t>Volume      (in actuals)</t>
  </si>
  <si>
    <t>Value          (in Rs'000)</t>
  </si>
  <si>
    <t>Volume        (in actuals)</t>
  </si>
  <si>
    <t>Volume         (in actuals)</t>
  </si>
  <si>
    <t>Value            (in Rs'000)</t>
  </si>
  <si>
    <t>Value           (in Rs'000)</t>
  </si>
  <si>
    <t>Volume          (in actuals)</t>
  </si>
  <si>
    <t>Volume            (in actuals)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</si>
</sst>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38">
    <xf numFmtId="0" fontId="0" fillId="0" borderId="0" xfId="0"/>
    <xf numFmtId="0" fontId="5" fillId="2" borderId="4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right"/>
    </xf>
    <xf numFmtId="1" fontId="7" fillId="2" borderId="4" xfId="0" applyNumberFormat="1" applyFont="1" applyFill="1" applyBorder="1"/>
    <xf numFmtId="0" fontId="7" fillId="2" borderId="4" xfId="0" applyFont="1" applyFill="1" applyBorder="1" applyAlignment="1">
      <alignment horizontal="right"/>
    </xf>
    <xf numFmtId="0" fontId="0" fillId="2" borderId="0" xfId="0" applyFill="1" applyAlignment="1">
      <alignment horizontal="left"/>
    </xf>
    <xf numFmtId="0" fontId="0" fillId="2" borderId="0" xfId="0" applyFill="1"/>
    <xf numFmtId="1" fontId="5" fillId="2" borderId="4" xfId="0" applyNumberFormat="1" applyFont="1" applyFill="1" applyBorder="1" applyAlignment="1">
      <alignment horizontal="right" vertical="center"/>
    </xf>
    <xf numFmtId="0" fontId="8" fillId="2" borderId="3" xfId="1" applyFont="1" applyFill="1" applyBorder="1" applyAlignment="1" applyProtection="1">
      <alignment vertical="center" wrapText="1"/>
      <protection locked="0"/>
    </xf>
    <xf numFmtId="0" fontId="3" fillId="2" borderId="4" xfId="0" applyFont="1" applyFill="1" applyBorder="1" applyAlignment="1" applyProtection="1">
      <alignment horizontal="left"/>
      <protection locked="0"/>
    </xf>
    <xf numFmtId="0" fontId="7" fillId="2" borderId="4" xfId="0" applyFont="1" applyFill="1" applyBorder="1" applyAlignment="1" applyProtection="1">
      <alignment horizontal="left"/>
      <protection locked="0"/>
    </xf>
    <xf numFmtId="0" fontId="0" fillId="2" borderId="4" xfId="0" applyFill="1" applyBorder="1" applyAlignment="1" applyProtection="1">
      <alignment horizontal="left"/>
      <protection locked="0"/>
    </xf>
    <xf numFmtId="0" fontId="3" fillId="2" borderId="4" xfId="0" applyFont="1" applyFill="1" applyBorder="1" applyAlignment="1" applyProtection="1">
      <alignment horizontal="center"/>
      <protection locked="0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vertical="center"/>
    </xf>
    <xf numFmtId="0" fontId="7" fillId="2" borderId="0" xfId="0" applyFont="1" applyFill="1" applyAlignment="1">
      <alignment horizontal="left"/>
    </xf>
    <xf numFmtId="0" fontId="7" fillId="2" borderId="0" xfId="0" applyFont="1" applyFill="1"/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/>
    <xf numFmtId="0" fontId="0" fillId="2" borderId="0" xfId="0" applyFill="1" applyAlignment="1" applyProtection="1">
      <alignment horizontal="left"/>
      <protection locked="0"/>
    </xf>
    <xf numFmtId="0" fontId="6" fillId="2" borderId="4" xfId="2" applyFont="1" applyFill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8" fillId="2" borderId="6" xfId="1" applyFont="1" applyFill="1" applyBorder="1" applyAlignment="1" applyProtection="1">
      <alignment horizontal="center" vertical="center" wrapText="1"/>
      <protection locked="0"/>
    </xf>
    <xf numFmtId="0" fontId="7" fillId="2" borderId="4" xfId="0" applyFont="1" applyFill="1" applyBorder="1" applyAlignment="1" applyProtection="1">
      <alignment horizontal="left" vertical="center"/>
      <protection locked="0"/>
    </xf>
    <xf numFmtId="0" fontId="7" fillId="2" borderId="4" xfId="0" applyFont="1" applyFill="1" applyBorder="1" applyAlignment="1" applyProtection="1">
      <alignment horizontal="center" vertical="center"/>
      <protection locked="0"/>
    </xf>
    <xf numFmtId="0" fontId="4" fillId="2" borderId="4" xfId="1" applyFont="1" applyFill="1" applyBorder="1" applyAlignment="1" applyProtection="1">
      <alignment horizontal="center" vertical="center" wrapText="1"/>
      <protection locked="0"/>
    </xf>
    <xf numFmtId="0" fontId="4" fillId="2" borderId="4" xfId="1" applyFont="1" applyFill="1" applyBorder="1" applyAlignment="1" applyProtection="1">
      <alignment horizontal="center" vertical="center"/>
      <protection locked="0"/>
    </xf>
    <xf numFmtId="0" fontId="4" fillId="2" borderId="2" xfId="1" applyFont="1" applyFill="1" applyBorder="1" applyAlignment="1" applyProtection="1">
      <alignment horizontal="center" vertical="center"/>
      <protection locked="0"/>
    </xf>
    <xf numFmtId="0" fontId="4" fillId="2" borderId="1" xfId="1" applyFont="1" applyFill="1" applyBorder="1" applyAlignment="1" applyProtection="1">
      <alignment horizontal="center" vertical="center"/>
      <protection locked="0"/>
    </xf>
    <xf numFmtId="0" fontId="4" fillId="2" borderId="6" xfId="1" applyFont="1" applyFill="1" applyBorder="1" applyAlignment="1" applyProtection="1">
      <alignment horizontal="center" vertical="center"/>
      <protection locked="0"/>
    </xf>
    <xf numFmtId="1" fontId="5" fillId="2" borderId="4" xfId="0" applyNumberFormat="1" applyFont="1" applyFill="1" applyBorder="1"/>
    <xf numFmtId="0" fontId="4" fillId="2" borderId="7" xfId="1" applyFont="1" applyFill="1" applyBorder="1" applyAlignment="1" applyProtection="1">
      <alignment horizontal="center" vertical="center"/>
      <protection locked="0"/>
    </xf>
    <xf numFmtId="0" fontId="4" fillId="2" borderId="0" xfId="1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" fontId="0" fillId="2" borderId="0" xfId="0" applyNumberFormat="1" applyFill="1"/>
    <xf numFmtId="1" fontId="2" fillId="2" borderId="0" xfId="0" applyNumberFormat="1" applyFont="1" applyFill="1"/>
  </cellXfs>
  <cellStyles count="3">
    <cellStyle name="Normal" xfId="0" builtinId="0"/>
    <cellStyle name="Normal 2 10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2:U53"/>
  <sheetViews>
    <sheetView tabSelected="1" zoomScale="85" zoomScaleNormal="85" workbookViewId="0">
      <pane xSplit="3" ySplit="5" topLeftCell="I6" activePane="bottomRight" state="frozen"/>
      <selection activeCell="C49" sqref="C49:AE49"/>
      <selection pane="topRight" activeCell="C49" sqref="C49:AE49"/>
      <selection pane="bottomLeft" activeCell="C49" sqref="C49:AE49"/>
      <selection pane="bottomRight" activeCell="F3" sqref="F3:M3"/>
    </sheetView>
  </sheetViews>
  <sheetFormatPr defaultColWidth="8.88671875" defaultRowHeight="14.4" x14ac:dyDescent="0.3"/>
  <cols>
    <col min="1" max="1" width="4" style="6" customWidth="1"/>
    <col min="2" max="2" width="6" style="19" customWidth="1"/>
    <col min="3" max="3" width="43" style="19" customWidth="1"/>
    <col min="4" max="4" width="11.33203125" style="7" customWidth="1"/>
    <col min="5" max="5" width="12.109375" style="7" customWidth="1"/>
    <col min="6" max="6" width="11.33203125" style="7" customWidth="1"/>
    <col min="7" max="7" width="11.109375" style="7" customWidth="1"/>
    <col min="8" max="8" width="11.88671875" style="7" customWidth="1"/>
    <col min="9" max="9" width="11.109375" style="7" customWidth="1"/>
    <col min="10" max="16" width="11.88671875" style="7" customWidth="1"/>
    <col min="17" max="17" width="11.33203125" style="7" customWidth="1"/>
    <col min="18" max="19" width="11.88671875" style="7" customWidth="1"/>
    <col min="20" max="20" width="12.33203125" style="7" customWidth="1"/>
    <col min="21" max="21" width="11.33203125" style="7" customWidth="1"/>
    <col min="22" max="16384" width="8.88671875" style="7"/>
  </cols>
  <sheetData>
    <row r="2" spans="1:21" x14ac:dyDescent="0.3">
      <c r="B2" s="26"/>
      <c r="C2" s="27"/>
      <c r="D2" s="26"/>
      <c r="E2" s="26"/>
      <c r="F2" s="28" t="s">
        <v>0</v>
      </c>
      <c r="G2" s="30"/>
      <c r="H2" s="30"/>
      <c r="I2" s="30"/>
      <c r="J2" s="30"/>
      <c r="K2" s="30"/>
      <c r="L2" s="30"/>
      <c r="M2" s="29"/>
      <c r="N2" s="32" t="s">
        <v>1</v>
      </c>
      <c r="O2" s="33"/>
      <c r="P2" s="33"/>
      <c r="Q2" s="33"/>
      <c r="R2" s="33"/>
      <c r="S2" s="33"/>
      <c r="T2" s="33"/>
      <c r="U2" s="33"/>
    </row>
    <row r="3" spans="1:21" x14ac:dyDescent="0.3">
      <c r="B3" s="26"/>
      <c r="C3" s="27"/>
      <c r="D3" s="26" t="s">
        <v>2</v>
      </c>
      <c r="E3" s="26" t="s">
        <v>3</v>
      </c>
      <c r="F3" s="28" t="s">
        <v>4</v>
      </c>
      <c r="G3" s="30"/>
      <c r="H3" s="30"/>
      <c r="I3" s="30"/>
      <c r="J3" s="30"/>
      <c r="K3" s="30"/>
      <c r="L3" s="30"/>
      <c r="M3" s="29"/>
      <c r="N3" s="32" t="s">
        <v>4</v>
      </c>
      <c r="O3" s="33"/>
      <c r="P3" s="33"/>
      <c r="Q3" s="33"/>
      <c r="R3" s="33"/>
      <c r="S3" s="33"/>
      <c r="T3" s="33"/>
      <c r="U3" s="33"/>
    </row>
    <row r="4" spans="1:21" x14ac:dyDescent="0.3">
      <c r="B4" s="26"/>
      <c r="C4" s="27"/>
      <c r="D4" s="26"/>
      <c r="E4" s="26"/>
      <c r="F4" s="26" t="s">
        <v>5</v>
      </c>
      <c r="G4" s="26"/>
      <c r="H4" s="26" t="s">
        <v>6</v>
      </c>
      <c r="I4" s="26"/>
      <c r="J4" s="27" t="s">
        <v>7</v>
      </c>
      <c r="K4" s="27"/>
      <c r="L4" s="28" t="s">
        <v>55</v>
      </c>
      <c r="M4" s="29"/>
      <c r="N4" s="26" t="s">
        <v>5</v>
      </c>
      <c r="O4" s="26"/>
      <c r="P4" s="26" t="s">
        <v>6</v>
      </c>
      <c r="Q4" s="26"/>
      <c r="R4" s="27" t="s">
        <v>7</v>
      </c>
      <c r="S4" s="27"/>
      <c r="T4" s="34" t="s">
        <v>55</v>
      </c>
      <c r="U4" s="35"/>
    </row>
    <row r="5" spans="1:21" s="15" customFormat="1" ht="28.8" x14ac:dyDescent="0.3">
      <c r="A5" s="14"/>
      <c r="B5" s="26"/>
      <c r="C5" s="27"/>
      <c r="D5" s="26"/>
      <c r="E5" s="26"/>
      <c r="F5" s="21" t="s">
        <v>56</v>
      </c>
      <c r="G5" s="21" t="s">
        <v>57</v>
      </c>
      <c r="H5" s="21" t="s">
        <v>58</v>
      </c>
      <c r="I5" s="21" t="s">
        <v>57</v>
      </c>
      <c r="J5" s="21" t="s">
        <v>59</v>
      </c>
      <c r="K5" s="21" t="s">
        <v>60</v>
      </c>
      <c r="L5" s="21" t="s">
        <v>59</v>
      </c>
      <c r="M5" s="21" t="s">
        <v>60</v>
      </c>
      <c r="N5" s="21" t="s">
        <v>62</v>
      </c>
      <c r="O5" s="21" t="s">
        <v>61</v>
      </c>
      <c r="P5" s="21" t="s">
        <v>58</v>
      </c>
      <c r="Q5" s="21" t="s">
        <v>57</v>
      </c>
      <c r="R5" s="21" t="s">
        <v>63</v>
      </c>
      <c r="S5" s="21" t="s">
        <v>60</v>
      </c>
      <c r="T5" s="21" t="s">
        <v>63</v>
      </c>
      <c r="U5" s="21" t="s">
        <v>60</v>
      </c>
    </row>
    <row r="6" spans="1:21" x14ac:dyDescent="0.3">
      <c r="B6" s="24" t="s">
        <v>8</v>
      </c>
      <c r="C6" s="2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21" x14ac:dyDescent="0.3">
      <c r="B7" s="13">
        <v>1</v>
      </c>
      <c r="C7" s="10" t="s">
        <v>9</v>
      </c>
      <c r="D7" s="3">
        <v>1752184</v>
      </c>
      <c r="E7" s="3">
        <v>80262159</v>
      </c>
      <c r="F7" s="4">
        <v>2142716</v>
      </c>
      <c r="G7" s="4">
        <v>6265686.4942100001</v>
      </c>
      <c r="H7" s="4">
        <v>2059844</v>
      </c>
      <c r="I7" s="4">
        <v>10408129</v>
      </c>
      <c r="J7" s="4">
        <v>0</v>
      </c>
      <c r="K7" s="4">
        <v>0</v>
      </c>
      <c r="L7" s="4">
        <f>F7+H7+J7</f>
        <v>4202560</v>
      </c>
      <c r="M7" s="4">
        <f>K7+I7+G7</f>
        <v>16673815.494210001</v>
      </c>
      <c r="N7" s="4">
        <v>7471808</v>
      </c>
      <c r="O7" s="4">
        <v>14420026.46592997</v>
      </c>
      <c r="P7" s="4">
        <v>2638048</v>
      </c>
      <c r="Q7" s="4">
        <v>6112771.4403499579</v>
      </c>
      <c r="R7" s="4">
        <v>9</v>
      </c>
      <c r="S7" s="4">
        <v>18.399999999999999</v>
      </c>
      <c r="T7" s="36">
        <f>R7+P7+N7</f>
        <v>10109865</v>
      </c>
      <c r="U7" s="36">
        <f>S7+Q7+O7</f>
        <v>20532816.306279927</v>
      </c>
    </row>
    <row r="8" spans="1:21" x14ac:dyDescent="0.3">
      <c r="B8" s="13">
        <v>2</v>
      </c>
      <c r="C8" s="10" t="s">
        <v>10</v>
      </c>
      <c r="D8" s="3">
        <v>84378</v>
      </c>
      <c r="E8" s="3">
        <v>46576513</v>
      </c>
      <c r="F8" s="4">
        <v>153722</v>
      </c>
      <c r="G8" s="4">
        <v>528618.2811299999</v>
      </c>
      <c r="H8" s="4">
        <v>73176</v>
      </c>
      <c r="I8" s="4">
        <v>272492.20869999996</v>
      </c>
      <c r="J8" s="4">
        <v>0</v>
      </c>
      <c r="K8" s="4">
        <v>0</v>
      </c>
      <c r="L8" s="4">
        <f t="shared" ref="L8:L52" si="0">F8+H8+J8</f>
        <v>226898</v>
      </c>
      <c r="M8" s="4">
        <f t="shared" ref="M8:M52" si="1">K8+I8+G8</f>
        <v>801110.48982999986</v>
      </c>
      <c r="N8" s="4">
        <v>4565087</v>
      </c>
      <c r="O8" s="4">
        <v>7910408.2479900001</v>
      </c>
      <c r="P8" s="4">
        <v>1652279</v>
      </c>
      <c r="Q8" s="4">
        <v>2555267.9192499998</v>
      </c>
      <c r="R8" s="4">
        <v>0</v>
      </c>
      <c r="S8" s="4">
        <v>0</v>
      </c>
      <c r="T8" s="36">
        <f t="shared" ref="T8:T52" si="2">R8+P8+N8</f>
        <v>6217366</v>
      </c>
      <c r="U8" s="36">
        <f t="shared" ref="U8:U52" si="3">S8+Q8+O8</f>
        <v>10465676.167239999</v>
      </c>
    </row>
    <row r="9" spans="1:21" s="17" customFormat="1" x14ac:dyDescent="0.3">
      <c r="A9" s="16"/>
      <c r="B9" s="13">
        <v>3</v>
      </c>
      <c r="C9" s="11" t="s">
        <v>11</v>
      </c>
      <c r="D9" s="5">
        <v>42447</v>
      </c>
      <c r="E9" s="5">
        <v>13196639</v>
      </c>
      <c r="F9" s="4">
        <v>60047</v>
      </c>
      <c r="G9" s="4">
        <v>239048.26199999999</v>
      </c>
      <c r="H9" s="4">
        <v>22966</v>
      </c>
      <c r="I9" s="4">
        <v>119875.451</v>
      </c>
      <c r="J9" s="4">
        <v>0</v>
      </c>
      <c r="K9" s="4">
        <v>0</v>
      </c>
      <c r="L9" s="4">
        <f t="shared" si="0"/>
        <v>83013</v>
      </c>
      <c r="M9" s="4">
        <f t="shared" si="1"/>
        <v>358923.71299999999</v>
      </c>
      <c r="N9" s="4">
        <v>1890763</v>
      </c>
      <c r="O9" s="4">
        <v>2931325.4339999999</v>
      </c>
      <c r="P9" s="4">
        <v>708271</v>
      </c>
      <c r="Q9" s="4">
        <v>1033389.425</v>
      </c>
      <c r="R9" s="4">
        <v>7496</v>
      </c>
      <c r="S9" s="4">
        <v>82127.962</v>
      </c>
      <c r="T9" s="36">
        <f t="shared" si="2"/>
        <v>2606530</v>
      </c>
      <c r="U9" s="36">
        <f t="shared" si="3"/>
        <v>4046842.821</v>
      </c>
    </row>
    <row r="10" spans="1:21" x14ac:dyDescent="0.3">
      <c r="B10" s="13">
        <v>4</v>
      </c>
      <c r="C10" s="10" t="s">
        <v>12</v>
      </c>
      <c r="D10" s="3">
        <v>603490</v>
      </c>
      <c r="E10" s="3">
        <v>49420963</v>
      </c>
      <c r="F10" s="4">
        <v>801652</v>
      </c>
      <c r="G10" s="4">
        <v>2167868.4019999998</v>
      </c>
      <c r="H10" s="4">
        <v>281498</v>
      </c>
      <c r="I10" s="4">
        <v>1068031.014</v>
      </c>
      <c r="J10" s="4">
        <v>0</v>
      </c>
      <c r="K10" s="4">
        <v>0</v>
      </c>
      <c r="L10" s="4">
        <f t="shared" si="0"/>
        <v>1083150</v>
      </c>
      <c r="M10" s="4">
        <f t="shared" si="1"/>
        <v>3235899.4159999997</v>
      </c>
      <c r="N10" s="4">
        <v>9117141</v>
      </c>
      <c r="O10" s="4">
        <v>19037586.539000001</v>
      </c>
      <c r="P10" s="4">
        <v>2382896</v>
      </c>
      <c r="Q10" s="4">
        <v>5086779.3820000002</v>
      </c>
      <c r="R10" s="4">
        <v>5696</v>
      </c>
      <c r="S10" s="4">
        <v>92690.854000000007</v>
      </c>
      <c r="T10" s="36">
        <f t="shared" si="2"/>
        <v>11505733</v>
      </c>
      <c r="U10" s="36">
        <f t="shared" si="3"/>
        <v>24217056.775000002</v>
      </c>
    </row>
    <row r="11" spans="1:21" x14ac:dyDescent="0.3">
      <c r="B11" s="13">
        <v>5</v>
      </c>
      <c r="C11" s="10" t="s">
        <v>13</v>
      </c>
      <c r="D11" s="3">
        <v>0</v>
      </c>
      <c r="E11" s="3">
        <v>27742934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f t="shared" si="0"/>
        <v>0</v>
      </c>
      <c r="M11" s="4">
        <f t="shared" si="1"/>
        <v>0</v>
      </c>
      <c r="N11" s="4">
        <v>2930172</v>
      </c>
      <c r="O11" s="4">
        <v>6381100.0240000002</v>
      </c>
      <c r="P11" s="4">
        <v>536622</v>
      </c>
      <c r="Q11" s="4">
        <v>1187034.6459999999</v>
      </c>
      <c r="R11" s="4">
        <v>0</v>
      </c>
      <c r="S11" s="4">
        <v>0</v>
      </c>
      <c r="T11" s="36">
        <f t="shared" si="2"/>
        <v>3466794</v>
      </c>
      <c r="U11" s="36">
        <f t="shared" si="3"/>
        <v>7568134.6699999999</v>
      </c>
    </row>
    <row r="12" spans="1:21" x14ac:dyDescent="0.3">
      <c r="B12" s="13">
        <v>6</v>
      </c>
      <c r="C12" s="10" t="s">
        <v>14</v>
      </c>
      <c r="D12" s="3">
        <v>156120</v>
      </c>
      <c r="E12" s="3">
        <v>29316010</v>
      </c>
      <c r="F12" s="4">
        <v>137869</v>
      </c>
      <c r="G12" s="4">
        <v>454206.29300000001</v>
      </c>
      <c r="H12" s="4">
        <v>68760</v>
      </c>
      <c r="I12" s="4">
        <v>280831.462</v>
      </c>
      <c r="J12" s="4">
        <v>0</v>
      </c>
      <c r="K12" s="4">
        <v>0</v>
      </c>
      <c r="L12" s="4">
        <f t="shared" si="0"/>
        <v>206629</v>
      </c>
      <c r="M12" s="4">
        <f t="shared" si="1"/>
        <v>735037.755</v>
      </c>
      <c r="N12" s="4">
        <v>5153966</v>
      </c>
      <c r="O12" s="4">
        <v>9852157.9600000009</v>
      </c>
      <c r="P12" s="4">
        <v>2106556</v>
      </c>
      <c r="Q12" s="4">
        <v>3534711.3089999999</v>
      </c>
      <c r="R12" s="4">
        <v>4778</v>
      </c>
      <c r="S12" s="4">
        <v>72123.339000000007</v>
      </c>
      <c r="T12" s="36">
        <f t="shared" si="2"/>
        <v>7265300</v>
      </c>
      <c r="U12" s="36">
        <f t="shared" si="3"/>
        <v>13458992.608000001</v>
      </c>
    </row>
    <row r="13" spans="1:21" x14ac:dyDescent="0.3">
      <c r="B13" s="13">
        <v>7</v>
      </c>
      <c r="C13" s="10" t="s">
        <v>15</v>
      </c>
      <c r="D13" s="3">
        <v>75520</v>
      </c>
      <c r="E13" s="3">
        <v>15959037</v>
      </c>
      <c r="F13" s="4">
        <v>72599</v>
      </c>
      <c r="G13" s="4">
        <v>183257.13841999997</v>
      </c>
      <c r="H13" s="4">
        <v>27056</v>
      </c>
      <c r="I13" s="4">
        <v>72425.579230000003</v>
      </c>
      <c r="J13" s="4">
        <v>0</v>
      </c>
      <c r="K13" s="4">
        <v>0</v>
      </c>
      <c r="L13" s="4">
        <f t="shared" si="0"/>
        <v>99655</v>
      </c>
      <c r="M13" s="4">
        <f t="shared" si="1"/>
        <v>255682.71764999998</v>
      </c>
      <c r="N13" s="4">
        <v>3544942</v>
      </c>
      <c r="O13" s="4">
        <v>6499989.3653000006</v>
      </c>
      <c r="P13" s="4">
        <v>963038</v>
      </c>
      <c r="Q13" s="4">
        <v>1703675.59607</v>
      </c>
      <c r="R13" s="4">
        <v>0</v>
      </c>
      <c r="S13" s="4">
        <v>0</v>
      </c>
      <c r="T13" s="36">
        <f t="shared" si="2"/>
        <v>4507980</v>
      </c>
      <c r="U13" s="36">
        <f t="shared" si="3"/>
        <v>8203664.9613700006</v>
      </c>
    </row>
    <row r="14" spans="1:21" x14ac:dyDescent="0.3">
      <c r="B14" s="13">
        <v>8</v>
      </c>
      <c r="C14" s="10" t="s">
        <v>16</v>
      </c>
      <c r="D14" s="3">
        <v>0</v>
      </c>
      <c r="E14" s="3">
        <v>3606404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f t="shared" si="0"/>
        <v>0</v>
      </c>
      <c r="M14" s="4">
        <f t="shared" si="1"/>
        <v>0</v>
      </c>
      <c r="N14" s="4">
        <v>670643</v>
      </c>
      <c r="O14" s="4">
        <v>1484115.4157999998</v>
      </c>
      <c r="P14" s="4">
        <v>134199</v>
      </c>
      <c r="Q14" s="4">
        <v>430963.97595999995</v>
      </c>
      <c r="R14" s="4">
        <v>0</v>
      </c>
      <c r="S14" s="4">
        <v>0</v>
      </c>
      <c r="T14" s="36">
        <f t="shared" si="2"/>
        <v>804842</v>
      </c>
      <c r="U14" s="36">
        <f t="shared" si="3"/>
        <v>1915079.3917599998</v>
      </c>
    </row>
    <row r="15" spans="1:21" x14ac:dyDescent="0.3">
      <c r="B15" s="13">
        <v>9</v>
      </c>
      <c r="C15" s="10" t="s">
        <v>17</v>
      </c>
      <c r="D15" s="3">
        <v>317715</v>
      </c>
      <c r="E15" s="3">
        <v>41052957</v>
      </c>
      <c r="F15" s="4">
        <v>485301</v>
      </c>
      <c r="G15" s="4">
        <v>1590175.29581</v>
      </c>
      <c r="H15" s="4">
        <v>197891</v>
      </c>
      <c r="I15" s="4">
        <v>697239.06222000008</v>
      </c>
      <c r="J15" s="4">
        <v>0</v>
      </c>
      <c r="K15" s="4">
        <v>0</v>
      </c>
      <c r="L15" s="4">
        <f t="shared" si="0"/>
        <v>683192</v>
      </c>
      <c r="M15" s="4">
        <f t="shared" si="1"/>
        <v>2287414.3580300002</v>
      </c>
      <c r="N15" s="4">
        <v>7044170</v>
      </c>
      <c r="O15" s="4">
        <v>15447154.657500001</v>
      </c>
      <c r="P15" s="4">
        <v>3379060</v>
      </c>
      <c r="Q15" s="4">
        <v>6555496.0489399992</v>
      </c>
      <c r="R15" s="4">
        <v>0</v>
      </c>
      <c r="S15" s="4">
        <v>0</v>
      </c>
      <c r="T15" s="36">
        <f t="shared" si="2"/>
        <v>10423230</v>
      </c>
      <c r="U15" s="36">
        <f t="shared" si="3"/>
        <v>22002650.706440002</v>
      </c>
    </row>
    <row r="16" spans="1:21" x14ac:dyDescent="0.3">
      <c r="B16" s="13">
        <v>10</v>
      </c>
      <c r="C16" s="10" t="s">
        <v>18</v>
      </c>
      <c r="D16" s="3">
        <v>15883906</v>
      </c>
      <c r="E16" s="3">
        <v>272999290</v>
      </c>
      <c r="F16" s="4">
        <v>26966567</v>
      </c>
      <c r="G16" s="4">
        <v>80666558.469980046</v>
      </c>
      <c r="H16" s="4">
        <v>19196584</v>
      </c>
      <c r="I16" s="4">
        <v>156819069.08060014</v>
      </c>
      <c r="J16" s="4">
        <v>0</v>
      </c>
      <c r="K16" s="4">
        <v>0</v>
      </c>
      <c r="L16" s="4">
        <f t="shared" si="0"/>
        <v>46163151</v>
      </c>
      <c r="M16" s="4">
        <f t="shared" si="1"/>
        <v>237485627.5505802</v>
      </c>
      <c r="N16" s="4">
        <v>53776881</v>
      </c>
      <c r="O16" s="4">
        <v>109832329.43426999</v>
      </c>
      <c r="P16" s="4">
        <v>21368886</v>
      </c>
      <c r="Q16" s="4">
        <v>41046286.23607</v>
      </c>
      <c r="R16" s="4">
        <v>1882</v>
      </c>
      <c r="S16" s="4">
        <v>25410.024600000001</v>
      </c>
      <c r="T16" s="36">
        <f t="shared" si="2"/>
        <v>75147649</v>
      </c>
      <c r="U16" s="36">
        <f t="shared" si="3"/>
        <v>150904025.69494</v>
      </c>
    </row>
    <row r="17" spans="2:21" x14ac:dyDescent="0.3">
      <c r="B17" s="13">
        <v>11</v>
      </c>
      <c r="C17" s="10" t="s">
        <v>19</v>
      </c>
      <c r="D17" s="3">
        <v>0</v>
      </c>
      <c r="E17" s="3">
        <v>12163701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f t="shared" si="0"/>
        <v>0</v>
      </c>
      <c r="M17" s="4">
        <f t="shared" si="1"/>
        <v>0</v>
      </c>
      <c r="N17" s="4">
        <v>2065550</v>
      </c>
      <c r="O17" s="4">
        <v>3803286.3139999998</v>
      </c>
      <c r="P17" s="4">
        <v>457001</v>
      </c>
      <c r="Q17" s="4">
        <v>1117544.371</v>
      </c>
      <c r="R17" s="4">
        <v>1020</v>
      </c>
      <c r="S17" s="4">
        <v>18068.827000000001</v>
      </c>
      <c r="T17" s="36">
        <f t="shared" si="2"/>
        <v>2523571</v>
      </c>
      <c r="U17" s="36">
        <f t="shared" si="3"/>
        <v>4938899.5120000001</v>
      </c>
    </row>
    <row r="18" spans="2:21" x14ac:dyDescent="0.3">
      <c r="B18" s="13">
        <v>12</v>
      </c>
      <c r="C18" s="10" t="s">
        <v>20</v>
      </c>
      <c r="D18" s="3">
        <v>575846</v>
      </c>
      <c r="E18" s="3">
        <v>45693679</v>
      </c>
      <c r="F18" s="4">
        <v>480809</v>
      </c>
      <c r="G18" s="4">
        <v>1669794.426</v>
      </c>
      <c r="H18" s="4">
        <v>286993</v>
      </c>
      <c r="I18" s="4">
        <v>1129924.0260000001</v>
      </c>
      <c r="J18" s="4">
        <v>0</v>
      </c>
      <c r="K18" s="4">
        <v>0</v>
      </c>
      <c r="L18" s="4">
        <f t="shared" si="0"/>
        <v>767802</v>
      </c>
      <c r="M18" s="4">
        <f t="shared" si="1"/>
        <v>2799718.452</v>
      </c>
      <c r="N18" s="4">
        <v>9387442</v>
      </c>
      <c r="O18" s="4">
        <v>16784447.862</v>
      </c>
      <c r="P18" s="4">
        <v>5268400</v>
      </c>
      <c r="Q18" s="4">
        <v>8760964.1960000005</v>
      </c>
      <c r="R18" s="4">
        <v>3616</v>
      </c>
      <c r="S18" s="4">
        <v>13825.343999999999</v>
      </c>
      <c r="T18" s="36">
        <f t="shared" si="2"/>
        <v>14659458</v>
      </c>
      <c r="U18" s="36">
        <f t="shared" si="3"/>
        <v>25559237.402000003</v>
      </c>
    </row>
    <row r="19" spans="2:21" x14ac:dyDescent="0.3">
      <c r="B19" s="24" t="s">
        <v>21</v>
      </c>
      <c r="C19" s="24"/>
      <c r="D19" s="1"/>
      <c r="E19" s="1"/>
      <c r="F19" s="2"/>
      <c r="G19" s="2"/>
      <c r="H19" s="2"/>
      <c r="I19" s="2"/>
      <c r="J19" s="2"/>
      <c r="K19" s="2"/>
      <c r="L19" s="4"/>
      <c r="M19" s="4"/>
      <c r="N19" s="4"/>
      <c r="O19" s="4"/>
      <c r="P19" s="4"/>
      <c r="Q19" s="4"/>
      <c r="R19" s="4"/>
      <c r="S19" s="4"/>
      <c r="T19" s="36"/>
      <c r="U19" s="36"/>
    </row>
    <row r="20" spans="2:21" x14ac:dyDescent="0.3">
      <c r="B20" s="13">
        <v>13</v>
      </c>
      <c r="C20" s="10" t="s">
        <v>22</v>
      </c>
      <c r="D20" s="3">
        <v>9443017</v>
      </c>
      <c r="E20" s="3">
        <v>28759959</v>
      </c>
      <c r="F20" s="4">
        <v>19157977</v>
      </c>
      <c r="G20" s="4">
        <v>59109720.345930003</v>
      </c>
      <c r="H20" s="4">
        <v>12568657</v>
      </c>
      <c r="I20" s="4">
        <v>54408027</v>
      </c>
      <c r="J20" s="4">
        <v>0</v>
      </c>
      <c r="K20" s="4">
        <v>0</v>
      </c>
      <c r="L20" s="4">
        <f t="shared" si="0"/>
        <v>31726634</v>
      </c>
      <c r="M20" s="4">
        <f t="shared" si="1"/>
        <v>113517747.34593001</v>
      </c>
      <c r="N20" s="4">
        <v>10065773</v>
      </c>
      <c r="O20" s="4">
        <v>23897863.037680008</v>
      </c>
      <c r="P20" s="4">
        <v>4140972</v>
      </c>
      <c r="Q20" s="4">
        <v>13352163.923900003</v>
      </c>
      <c r="R20" s="4">
        <v>19125</v>
      </c>
      <c r="S20" s="4">
        <v>473137.46886000037</v>
      </c>
      <c r="T20" s="36">
        <f t="shared" si="2"/>
        <v>14225870</v>
      </c>
      <c r="U20" s="36">
        <f t="shared" si="3"/>
        <v>37723164.430440009</v>
      </c>
    </row>
    <row r="21" spans="2:21" x14ac:dyDescent="0.3">
      <c r="B21" s="13">
        <v>14</v>
      </c>
      <c r="C21" s="10" t="s">
        <v>23</v>
      </c>
      <c r="D21" s="3">
        <v>0</v>
      </c>
      <c r="E21" s="3">
        <v>5267927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f t="shared" si="0"/>
        <v>0</v>
      </c>
      <c r="M21" s="4">
        <f t="shared" si="1"/>
        <v>0</v>
      </c>
      <c r="N21" s="4">
        <v>488987</v>
      </c>
      <c r="O21" s="4">
        <v>1187265.3720700003</v>
      </c>
      <c r="P21" s="4">
        <v>225143</v>
      </c>
      <c r="Q21" s="4">
        <v>650015.77762000042</v>
      </c>
      <c r="R21" s="4">
        <v>0</v>
      </c>
      <c r="S21" s="4">
        <v>0</v>
      </c>
      <c r="T21" s="36">
        <f t="shared" si="2"/>
        <v>714130</v>
      </c>
      <c r="U21" s="36">
        <f t="shared" si="3"/>
        <v>1837281.1496900008</v>
      </c>
    </row>
    <row r="22" spans="2:21" x14ac:dyDescent="0.3">
      <c r="B22" s="13">
        <v>15</v>
      </c>
      <c r="C22" s="10" t="s">
        <v>24</v>
      </c>
      <c r="D22" s="3">
        <v>2588</v>
      </c>
      <c r="E22" s="3">
        <v>2699516</v>
      </c>
      <c r="F22" s="4">
        <v>2494</v>
      </c>
      <c r="G22" s="4">
        <v>5197.8436600000005</v>
      </c>
      <c r="H22" s="4">
        <v>722</v>
      </c>
      <c r="I22" s="4">
        <v>2568.77484</v>
      </c>
      <c r="J22" s="4">
        <v>0</v>
      </c>
      <c r="K22" s="4">
        <v>0</v>
      </c>
      <c r="L22" s="4">
        <f t="shared" si="0"/>
        <v>3216</v>
      </c>
      <c r="M22" s="4">
        <f t="shared" si="1"/>
        <v>7766.6185000000005</v>
      </c>
      <c r="N22" s="4">
        <v>817302</v>
      </c>
      <c r="O22" s="4">
        <v>1617601.47028</v>
      </c>
      <c r="P22" s="4">
        <v>132261</v>
      </c>
      <c r="Q22" s="4">
        <v>278496.97113999998</v>
      </c>
      <c r="R22" s="4">
        <v>0</v>
      </c>
      <c r="S22" s="4">
        <v>0</v>
      </c>
      <c r="T22" s="36">
        <f t="shared" si="2"/>
        <v>949563</v>
      </c>
      <c r="U22" s="36">
        <f t="shared" si="3"/>
        <v>1896098.44142</v>
      </c>
    </row>
    <row r="23" spans="2:21" x14ac:dyDescent="0.3">
      <c r="B23" s="13">
        <v>16</v>
      </c>
      <c r="C23" s="10" t="s">
        <v>25</v>
      </c>
      <c r="D23" s="3">
        <v>158</v>
      </c>
      <c r="E23" s="3">
        <v>864160</v>
      </c>
      <c r="F23" s="4">
        <v>151</v>
      </c>
      <c r="G23" s="4">
        <v>173.12445000000008</v>
      </c>
      <c r="H23" s="4">
        <v>67</v>
      </c>
      <c r="I23" s="4">
        <v>80.099820000000008</v>
      </c>
      <c r="J23" s="4">
        <v>0</v>
      </c>
      <c r="K23" s="4">
        <v>0</v>
      </c>
      <c r="L23" s="4">
        <f t="shared" si="0"/>
        <v>218</v>
      </c>
      <c r="M23" s="4">
        <f t="shared" si="1"/>
        <v>253.2242700000001</v>
      </c>
      <c r="N23" s="4">
        <v>263950</v>
      </c>
      <c r="O23" s="4">
        <v>474334.24450999999</v>
      </c>
      <c r="P23" s="4">
        <v>33701</v>
      </c>
      <c r="Q23" s="4">
        <v>70480.060259999998</v>
      </c>
      <c r="R23" s="4">
        <v>16</v>
      </c>
      <c r="S23" s="4">
        <v>126</v>
      </c>
      <c r="T23" s="36">
        <f t="shared" si="2"/>
        <v>297667</v>
      </c>
      <c r="U23" s="36">
        <f t="shared" si="3"/>
        <v>544940.30477000005</v>
      </c>
    </row>
    <row r="24" spans="2:21" x14ac:dyDescent="0.3">
      <c r="B24" s="13">
        <v>17</v>
      </c>
      <c r="C24" s="10" t="s">
        <v>26</v>
      </c>
      <c r="D24" s="3">
        <v>0</v>
      </c>
      <c r="E24" s="3">
        <v>947232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f t="shared" si="0"/>
        <v>0</v>
      </c>
      <c r="M24" s="4">
        <f t="shared" si="1"/>
        <v>0</v>
      </c>
      <c r="N24" s="4">
        <v>151617</v>
      </c>
      <c r="O24" s="4">
        <v>381351.94300000003</v>
      </c>
      <c r="P24" s="4">
        <v>31456</v>
      </c>
      <c r="Q24" s="4">
        <v>133113.524</v>
      </c>
      <c r="R24" s="4">
        <v>399</v>
      </c>
      <c r="S24" s="4">
        <v>13751.431</v>
      </c>
      <c r="T24" s="36">
        <f t="shared" si="2"/>
        <v>183472</v>
      </c>
      <c r="U24" s="36">
        <f t="shared" si="3"/>
        <v>528216.89800000004</v>
      </c>
    </row>
    <row r="25" spans="2:21" x14ac:dyDescent="0.3">
      <c r="B25" s="13">
        <v>18</v>
      </c>
      <c r="C25" s="10" t="s">
        <v>27</v>
      </c>
      <c r="D25" s="3">
        <v>8635</v>
      </c>
      <c r="E25" s="3">
        <v>531589</v>
      </c>
      <c r="F25" s="4">
        <v>21732</v>
      </c>
      <c r="G25" s="4">
        <v>45305.165409999994</v>
      </c>
      <c r="H25" s="4">
        <v>5655</v>
      </c>
      <c r="I25" s="4">
        <v>17605.27838</v>
      </c>
      <c r="J25" s="4">
        <v>16</v>
      </c>
      <c r="K25" s="4">
        <v>43.741800000000005</v>
      </c>
      <c r="L25" s="4">
        <f t="shared" si="0"/>
        <v>27403</v>
      </c>
      <c r="M25" s="4">
        <f t="shared" si="1"/>
        <v>62954.185589999994</v>
      </c>
      <c r="N25" s="4">
        <v>260770</v>
      </c>
      <c r="O25" s="4">
        <v>415755.68214999995</v>
      </c>
      <c r="P25" s="4">
        <v>22946</v>
      </c>
      <c r="Q25" s="4">
        <v>57938.671490000001</v>
      </c>
      <c r="R25" s="4">
        <v>0</v>
      </c>
      <c r="S25" s="4">
        <v>0</v>
      </c>
      <c r="T25" s="36">
        <f t="shared" si="2"/>
        <v>283716</v>
      </c>
      <c r="U25" s="36">
        <f t="shared" si="3"/>
        <v>473694.35363999993</v>
      </c>
    </row>
    <row r="26" spans="2:21" x14ac:dyDescent="0.3">
      <c r="B26" s="13">
        <v>19</v>
      </c>
      <c r="C26" s="10" t="s">
        <v>28</v>
      </c>
      <c r="D26" s="3">
        <v>452399</v>
      </c>
      <c r="E26" s="3">
        <v>12017050</v>
      </c>
      <c r="F26" s="4">
        <v>1038034</v>
      </c>
      <c r="G26" s="4">
        <v>3227897.4369999999</v>
      </c>
      <c r="H26" s="4">
        <v>1048993</v>
      </c>
      <c r="I26" s="4">
        <v>5708597.2769999998</v>
      </c>
      <c r="J26" s="4">
        <v>0</v>
      </c>
      <c r="K26" s="4">
        <v>0</v>
      </c>
      <c r="L26" s="4">
        <f t="shared" si="0"/>
        <v>2087027</v>
      </c>
      <c r="M26" s="4">
        <f t="shared" si="1"/>
        <v>8936494.7139999997</v>
      </c>
      <c r="N26" s="4">
        <v>5023881</v>
      </c>
      <c r="O26" s="4">
        <v>8845614.1380000003</v>
      </c>
      <c r="P26" s="4">
        <v>1655256</v>
      </c>
      <c r="Q26" s="4">
        <v>4099394.0159999998</v>
      </c>
      <c r="R26" s="4">
        <v>2420</v>
      </c>
      <c r="S26" s="4">
        <v>29777.282999999999</v>
      </c>
      <c r="T26" s="36">
        <f t="shared" si="2"/>
        <v>6681557</v>
      </c>
      <c r="U26" s="36">
        <f t="shared" si="3"/>
        <v>12974785.436999999</v>
      </c>
    </row>
    <row r="27" spans="2:21" x14ac:dyDescent="0.3">
      <c r="B27" s="13">
        <v>20</v>
      </c>
      <c r="C27" s="10" t="s">
        <v>29</v>
      </c>
      <c r="D27" s="3">
        <v>17012255</v>
      </c>
      <c r="E27" s="3">
        <v>49483219</v>
      </c>
      <c r="F27" s="4">
        <v>33907416</v>
      </c>
      <c r="G27" s="4">
        <v>132909505.7507</v>
      </c>
      <c r="H27" s="4">
        <v>28833974</v>
      </c>
      <c r="I27" s="4">
        <v>224039833.86539999</v>
      </c>
      <c r="J27" s="4">
        <v>0</v>
      </c>
      <c r="K27" s="4">
        <v>0</v>
      </c>
      <c r="L27" s="4">
        <f t="shared" si="0"/>
        <v>62741390</v>
      </c>
      <c r="M27" s="4">
        <f t="shared" si="1"/>
        <v>356949339.61609995</v>
      </c>
      <c r="N27" s="4">
        <v>23232593</v>
      </c>
      <c r="O27" s="4">
        <v>58813083.228</v>
      </c>
      <c r="P27" s="4">
        <v>14459196</v>
      </c>
      <c r="Q27" s="4">
        <v>42118560.509999998</v>
      </c>
      <c r="R27" s="4">
        <v>120364</v>
      </c>
      <c r="S27" s="4">
        <v>1865223.82</v>
      </c>
      <c r="T27" s="36">
        <f t="shared" si="2"/>
        <v>37812153</v>
      </c>
      <c r="U27" s="36">
        <f t="shared" si="3"/>
        <v>102796867.558</v>
      </c>
    </row>
    <row r="28" spans="2:21" x14ac:dyDescent="0.3">
      <c r="B28" s="13">
        <v>21</v>
      </c>
      <c r="C28" s="10" t="s">
        <v>30</v>
      </c>
      <c r="D28" s="3">
        <v>13527648</v>
      </c>
      <c r="E28" s="3">
        <v>32505167</v>
      </c>
      <c r="F28" s="4">
        <v>20473500</v>
      </c>
      <c r="G28" s="4">
        <v>68307431.121999994</v>
      </c>
      <c r="H28" s="4">
        <v>27231934</v>
      </c>
      <c r="I28" s="4">
        <v>138610413.54899999</v>
      </c>
      <c r="J28" s="4">
        <v>50</v>
      </c>
      <c r="K28" s="4">
        <v>2396.4369999999999</v>
      </c>
      <c r="L28" s="4">
        <f t="shared" si="0"/>
        <v>47705484</v>
      </c>
      <c r="M28" s="4">
        <f t="shared" si="1"/>
        <v>206920241.10799998</v>
      </c>
      <c r="N28" s="4">
        <v>14748372</v>
      </c>
      <c r="O28" s="4">
        <v>39604415.213</v>
      </c>
      <c r="P28" s="4">
        <v>5495606</v>
      </c>
      <c r="Q28" s="4">
        <v>20613221.087000001</v>
      </c>
      <c r="R28" s="4">
        <v>25988</v>
      </c>
      <c r="S28" s="4">
        <v>238409.769</v>
      </c>
      <c r="T28" s="36">
        <f t="shared" si="2"/>
        <v>20269966</v>
      </c>
      <c r="U28" s="36">
        <f t="shared" si="3"/>
        <v>60456046.069000006</v>
      </c>
    </row>
    <row r="29" spans="2:21" x14ac:dyDescent="0.3">
      <c r="B29" s="13">
        <v>22</v>
      </c>
      <c r="C29" s="10" t="s">
        <v>31</v>
      </c>
      <c r="D29" s="3">
        <v>44038</v>
      </c>
      <c r="E29" s="3">
        <v>12816401</v>
      </c>
      <c r="F29" s="4">
        <v>73607</v>
      </c>
      <c r="G29" s="4">
        <v>226128.55600000001</v>
      </c>
      <c r="H29" s="4">
        <v>43991</v>
      </c>
      <c r="I29" s="4">
        <v>155709.62700000001</v>
      </c>
      <c r="J29" s="4">
        <v>0</v>
      </c>
      <c r="K29" s="4">
        <v>0</v>
      </c>
      <c r="L29" s="4">
        <f t="shared" si="0"/>
        <v>117598</v>
      </c>
      <c r="M29" s="4">
        <f t="shared" si="1"/>
        <v>381838.18300000002</v>
      </c>
      <c r="N29" s="4">
        <v>2342013</v>
      </c>
      <c r="O29" s="4">
        <v>4666267.3940000003</v>
      </c>
      <c r="P29" s="4">
        <v>507733</v>
      </c>
      <c r="Q29" s="4">
        <v>1135652.6429999999</v>
      </c>
      <c r="R29" s="4">
        <v>0</v>
      </c>
      <c r="S29" s="4">
        <v>0</v>
      </c>
      <c r="T29" s="36">
        <f t="shared" si="2"/>
        <v>2849746</v>
      </c>
      <c r="U29" s="36">
        <f t="shared" si="3"/>
        <v>5801920.0370000005</v>
      </c>
    </row>
    <row r="30" spans="2:21" x14ac:dyDescent="0.3">
      <c r="B30" s="13">
        <v>23</v>
      </c>
      <c r="C30" s="10" t="s">
        <v>32</v>
      </c>
      <c r="D30" s="3">
        <v>1365384</v>
      </c>
      <c r="E30" s="3">
        <v>5751063</v>
      </c>
      <c r="F30" s="4">
        <v>2020555</v>
      </c>
      <c r="G30" s="4">
        <v>6783846.3499999996</v>
      </c>
      <c r="H30" s="4">
        <v>1636193</v>
      </c>
      <c r="I30" s="4">
        <v>10922000</v>
      </c>
      <c r="J30" s="4">
        <v>0</v>
      </c>
      <c r="K30" s="4">
        <v>0</v>
      </c>
      <c r="L30" s="4">
        <f t="shared" si="0"/>
        <v>3656748</v>
      </c>
      <c r="M30" s="4">
        <f t="shared" si="1"/>
        <v>17705846.350000001</v>
      </c>
      <c r="N30" s="4">
        <v>1159874</v>
      </c>
      <c r="O30" s="4">
        <v>2402516.4539999999</v>
      </c>
      <c r="P30" s="4">
        <v>394924</v>
      </c>
      <c r="Q30" s="4">
        <v>1614292.767</v>
      </c>
      <c r="R30" s="4">
        <v>0</v>
      </c>
      <c r="S30" s="4">
        <v>0</v>
      </c>
      <c r="T30" s="36">
        <f t="shared" si="2"/>
        <v>1554798</v>
      </c>
      <c r="U30" s="36">
        <f t="shared" si="3"/>
        <v>4016809.2209999999</v>
      </c>
    </row>
    <row r="31" spans="2:21" x14ac:dyDescent="0.3">
      <c r="B31" s="13">
        <v>24</v>
      </c>
      <c r="C31" s="10" t="s">
        <v>33</v>
      </c>
      <c r="D31" s="3">
        <v>2068093</v>
      </c>
      <c r="E31" s="3">
        <v>7938791</v>
      </c>
      <c r="F31" s="4">
        <v>3567018</v>
      </c>
      <c r="G31" s="4">
        <v>17903123.32</v>
      </c>
      <c r="H31" s="4">
        <v>2284275</v>
      </c>
      <c r="I31" s="4">
        <v>50917909.357000001</v>
      </c>
      <c r="J31" s="4">
        <v>0</v>
      </c>
      <c r="K31" s="4">
        <v>0</v>
      </c>
      <c r="L31" s="4">
        <f t="shared" si="0"/>
        <v>5851293</v>
      </c>
      <c r="M31" s="4">
        <f t="shared" si="1"/>
        <v>68821032.677000001</v>
      </c>
      <c r="N31" s="4">
        <v>1478162</v>
      </c>
      <c r="O31" s="4">
        <v>3330742.74</v>
      </c>
      <c r="P31" s="4">
        <v>864981</v>
      </c>
      <c r="Q31" s="4">
        <v>2897940.8390000002</v>
      </c>
      <c r="R31" s="4">
        <v>1099</v>
      </c>
      <c r="S31" s="4">
        <v>78645.902519999989</v>
      </c>
      <c r="T31" s="36">
        <f t="shared" si="2"/>
        <v>2344242</v>
      </c>
      <c r="U31" s="36">
        <f t="shared" si="3"/>
        <v>6307329.4815200008</v>
      </c>
    </row>
    <row r="32" spans="2:21" x14ac:dyDescent="0.3">
      <c r="B32" s="13">
        <v>25</v>
      </c>
      <c r="C32" s="10" t="s">
        <v>34</v>
      </c>
      <c r="D32" s="3">
        <v>86146</v>
      </c>
      <c r="E32" s="3">
        <v>3740540</v>
      </c>
      <c r="F32" s="4">
        <v>167788</v>
      </c>
      <c r="G32" s="4">
        <v>1141334.8292100001</v>
      </c>
      <c r="H32" s="4">
        <v>117454</v>
      </c>
      <c r="I32" s="4">
        <v>318399.96794</v>
      </c>
      <c r="J32" s="4">
        <v>0</v>
      </c>
      <c r="K32" s="4">
        <v>0</v>
      </c>
      <c r="L32" s="4">
        <f t="shared" si="0"/>
        <v>285242</v>
      </c>
      <c r="M32" s="4">
        <f t="shared" si="1"/>
        <v>1459734.79715</v>
      </c>
      <c r="N32" s="4">
        <v>1673401</v>
      </c>
      <c r="O32" s="4">
        <v>2902885.5643500001</v>
      </c>
      <c r="P32" s="4">
        <v>2562645</v>
      </c>
      <c r="Q32" s="4">
        <v>1309330.3880699999</v>
      </c>
      <c r="R32" s="4">
        <v>0</v>
      </c>
      <c r="S32" s="4">
        <v>0</v>
      </c>
      <c r="T32" s="36">
        <f t="shared" si="2"/>
        <v>4236046</v>
      </c>
      <c r="U32" s="36">
        <f t="shared" si="3"/>
        <v>4212215.95242</v>
      </c>
    </row>
    <row r="33" spans="2:21" x14ac:dyDescent="0.3">
      <c r="B33" s="13">
        <v>26</v>
      </c>
      <c r="C33" s="10" t="s">
        <v>35</v>
      </c>
      <c r="D33" s="3">
        <v>0</v>
      </c>
      <c r="E33" s="3">
        <v>5137671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f t="shared" si="0"/>
        <v>0</v>
      </c>
      <c r="M33" s="4">
        <f t="shared" si="1"/>
        <v>0</v>
      </c>
      <c r="N33" s="4">
        <v>1690149</v>
      </c>
      <c r="O33" s="4">
        <v>2533957.2590000001</v>
      </c>
      <c r="P33" s="4">
        <v>211773</v>
      </c>
      <c r="Q33" s="4">
        <v>448117.761</v>
      </c>
      <c r="R33" s="4">
        <v>0</v>
      </c>
      <c r="S33" s="4">
        <v>0</v>
      </c>
      <c r="T33" s="36">
        <f t="shared" si="2"/>
        <v>1901922</v>
      </c>
      <c r="U33" s="36">
        <f t="shared" si="3"/>
        <v>2982075.02</v>
      </c>
    </row>
    <row r="34" spans="2:21" x14ac:dyDescent="0.3">
      <c r="B34" s="13">
        <v>27</v>
      </c>
      <c r="C34" s="10" t="s">
        <v>36</v>
      </c>
      <c r="D34" s="3">
        <v>9665</v>
      </c>
      <c r="E34" s="3">
        <v>4164315</v>
      </c>
      <c r="F34" s="4">
        <v>29992</v>
      </c>
      <c r="G34" s="4">
        <v>191506.05900000001</v>
      </c>
      <c r="H34" s="4">
        <v>9204</v>
      </c>
      <c r="I34" s="4">
        <v>93503.425000000003</v>
      </c>
      <c r="J34" s="4">
        <v>0</v>
      </c>
      <c r="K34" s="4">
        <v>0</v>
      </c>
      <c r="L34" s="4">
        <f t="shared" si="0"/>
        <v>39196</v>
      </c>
      <c r="M34" s="4">
        <f t="shared" si="1"/>
        <v>285009.484</v>
      </c>
      <c r="N34" s="4">
        <v>1758877</v>
      </c>
      <c r="O34" s="4">
        <v>3665419.3160000001</v>
      </c>
      <c r="P34" s="4">
        <v>296790</v>
      </c>
      <c r="Q34" s="4">
        <v>897522.73400000005</v>
      </c>
      <c r="R34" s="4">
        <v>9849</v>
      </c>
      <c r="S34" s="4">
        <v>205379.32500000001</v>
      </c>
      <c r="T34" s="36">
        <f t="shared" si="2"/>
        <v>2065516</v>
      </c>
      <c r="U34" s="36">
        <f t="shared" si="3"/>
        <v>4768321.375</v>
      </c>
    </row>
    <row r="35" spans="2:21" x14ac:dyDescent="0.3">
      <c r="B35" s="13">
        <v>28</v>
      </c>
      <c r="C35" s="10" t="s">
        <v>37</v>
      </c>
      <c r="D35" s="3">
        <v>4736952</v>
      </c>
      <c r="E35" s="3">
        <v>27097025</v>
      </c>
      <c r="F35" s="4">
        <v>5255815</v>
      </c>
      <c r="G35" s="4">
        <v>16504748.176000001</v>
      </c>
      <c r="H35" s="4">
        <v>4025457</v>
      </c>
      <c r="I35" s="4">
        <v>24983507.698329996</v>
      </c>
      <c r="J35" s="4">
        <v>0</v>
      </c>
      <c r="K35" s="4">
        <v>0</v>
      </c>
      <c r="L35" s="4">
        <f t="shared" si="0"/>
        <v>9281272</v>
      </c>
      <c r="M35" s="4">
        <f t="shared" si="1"/>
        <v>41488255.874329999</v>
      </c>
      <c r="N35" s="4">
        <v>4399663</v>
      </c>
      <c r="O35" s="4">
        <v>8465905.2212699987</v>
      </c>
      <c r="P35" s="4">
        <v>3022241</v>
      </c>
      <c r="Q35" s="4">
        <v>7044394.6062999992</v>
      </c>
      <c r="R35" s="4">
        <v>0</v>
      </c>
      <c r="S35" s="4">
        <v>0</v>
      </c>
      <c r="T35" s="36">
        <f t="shared" si="2"/>
        <v>7421904</v>
      </c>
      <c r="U35" s="36">
        <f t="shared" si="3"/>
        <v>15510299.827569999</v>
      </c>
    </row>
    <row r="36" spans="2:21" x14ac:dyDescent="0.3">
      <c r="B36" s="13">
        <v>29</v>
      </c>
      <c r="C36" s="10" t="s">
        <v>38</v>
      </c>
      <c r="D36" s="3">
        <v>0</v>
      </c>
      <c r="E36" s="3">
        <v>198232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f t="shared" si="0"/>
        <v>0</v>
      </c>
      <c r="M36" s="4">
        <f t="shared" si="1"/>
        <v>0</v>
      </c>
      <c r="N36" s="4">
        <v>29774</v>
      </c>
      <c r="O36" s="4">
        <v>53413.324270000005</v>
      </c>
      <c r="P36" s="4">
        <v>15990</v>
      </c>
      <c r="Q36" s="4">
        <v>33407.028059999997</v>
      </c>
      <c r="R36" s="4">
        <v>0</v>
      </c>
      <c r="S36" s="4">
        <v>0</v>
      </c>
      <c r="T36" s="36">
        <f t="shared" si="2"/>
        <v>45764</v>
      </c>
      <c r="U36" s="36">
        <f t="shared" si="3"/>
        <v>86820.352329999994</v>
      </c>
    </row>
    <row r="37" spans="2:21" x14ac:dyDescent="0.3">
      <c r="B37" s="13">
        <v>30</v>
      </c>
      <c r="C37" s="10" t="s">
        <v>39</v>
      </c>
      <c r="D37" s="3">
        <v>4237024</v>
      </c>
      <c r="E37" s="3">
        <v>1537173</v>
      </c>
      <c r="F37" s="4">
        <v>7178597</v>
      </c>
      <c r="G37" s="4">
        <v>30138965.958189998</v>
      </c>
      <c r="H37" s="4">
        <v>3159696</v>
      </c>
      <c r="I37" s="4">
        <v>23948687.164960001</v>
      </c>
      <c r="J37" s="4">
        <v>0</v>
      </c>
      <c r="K37" s="4">
        <v>0</v>
      </c>
      <c r="L37" s="4">
        <f t="shared" si="0"/>
        <v>10338293</v>
      </c>
      <c r="M37" s="4">
        <f t="shared" si="1"/>
        <v>54087653.123149998</v>
      </c>
      <c r="N37" s="4">
        <v>293909</v>
      </c>
      <c r="O37" s="4">
        <v>636616.5625999982</v>
      </c>
      <c r="P37" s="4">
        <v>124260</v>
      </c>
      <c r="Q37" s="4">
        <v>463774.05534999527</v>
      </c>
      <c r="R37" s="4">
        <v>146</v>
      </c>
      <c r="S37" s="4">
        <v>7754.6593100000009</v>
      </c>
      <c r="T37" s="36">
        <f t="shared" si="2"/>
        <v>418315</v>
      </c>
      <c r="U37" s="36">
        <f t="shared" si="3"/>
        <v>1108145.2772599934</v>
      </c>
    </row>
    <row r="38" spans="2:21" x14ac:dyDescent="0.3">
      <c r="B38" s="13">
        <v>31</v>
      </c>
      <c r="C38" s="10" t="s">
        <v>40</v>
      </c>
      <c r="D38" s="3">
        <v>186575</v>
      </c>
      <c r="E38" s="3">
        <v>3545940</v>
      </c>
      <c r="F38" s="4">
        <v>492577</v>
      </c>
      <c r="G38" s="4">
        <v>1560271.04902</v>
      </c>
      <c r="H38" s="4">
        <v>448386</v>
      </c>
      <c r="I38" s="4">
        <v>2955943.9040199998</v>
      </c>
      <c r="J38" s="4">
        <v>0</v>
      </c>
      <c r="K38" s="4">
        <v>0</v>
      </c>
      <c r="L38" s="4">
        <f t="shared" si="0"/>
        <v>940963</v>
      </c>
      <c r="M38" s="4">
        <f t="shared" si="1"/>
        <v>4516214.9530400001</v>
      </c>
      <c r="N38" s="4">
        <v>1852567</v>
      </c>
      <c r="O38" s="4">
        <v>3528509.53577</v>
      </c>
      <c r="P38" s="4">
        <v>300329</v>
      </c>
      <c r="Q38" s="4">
        <v>848582.29711000004</v>
      </c>
      <c r="R38" s="4">
        <v>0</v>
      </c>
      <c r="S38" s="4">
        <v>0</v>
      </c>
      <c r="T38" s="36">
        <f t="shared" si="2"/>
        <v>2152896</v>
      </c>
      <c r="U38" s="36">
        <f t="shared" si="3"/>
        <v>4377091.8328799997</v>
      </c>
    </row>
    <row r="39" spans="2:21" x14ac:dyDescent="0.3">
      <c r="B39" s="13">
        <v>32</v>
      </c>
      <c r="C39" s="10" t="s">
        <v>41</v>
      </c>
      <c r="D39" s="3">
        <v>40997</v>
      </c>
      <c r="E39" s="3">
        <v>2161226</v>
      </c>
      <c r="F39" s="4">
        <v>57580</v>
      </c>
      <c r="G39" s="4">
        <v>261914.41450000001</v>
      </c>
      <c r="H39" s="4">
        <v>12776</v>
      </c>
      <c r="I39" s="4">
        <v>67705.540369999988</v>
      </c>
      <c r="J39" s="4">
        <v>0</v>
      </c>
      <c r="K39" s="4">
        <v>0</v>
      </c>
      <c r="L39" s="4">
        <f t="shared" si="0"/>
        <v>70356</v>
      </c>
      <c r="M39" s="4">
        <f t="shared" si="1"/>
        <v>329619.95487000002</v>
      </c>
      <c r="N39" s="4">
        <v>480707</v>
      </c>
      <c r="O39" s="4">
        <v>1043635.8761100001</v>
      </c>
      <c r="P39" s="4">
        <v>101030</v>
      </c>
      <c r="Q39" s="4">
        <v>201076.24400000001</v>
      </c>
      <c r="R39" s="4">
        <v>95</v>
      </c>
      <c r="S39" s="4">
        <v>296.255</v>
      </c>
      <c r="T39" s="36">
        <f t="shared" si="2"/>
        <v>581832</v>
      </c>
      <c r="U39" s="36">
        <f t="shared" si="3"/>
        <v>1245008.3751100001</v>
      </c>
    </row>
    <row r="40" spans="2:21" x14ac:dyDescent="0.3">
      <c r="B40" s="13">
        <v>33</v>
      </c>
      <c r="C40" s="10" t="s">
        <v>42</v>
      </c>
      <c r="D40" s="3">
        <v>1399164</v>
      </c>
      <c r="E40" s="3">
        <v>4160833</v>
      </c>
      <c r="F40" s="4">
        <v>2104196</v>
      </c>
      <c r="G40" s="4">
        <v>7008197.1345200008</v>
      </c>
      <c r="H40" s="4">
        <v>929749</v>
      </c>
      <c r="I40" s="4">
        <v>7446178.84516</v>
      </c>
      <c r="J40" s="4">
        <v>0</v>
      </c>
      <c r="K40" s="4">
        <v>0</v>
      </c>
      <c r="L40" s="4">
        <f t="shared" si="0"/>
        <v>3033945</v>
      </c>
      <c r="M40" s="4">
        <f t="shared" si="1"/>
        <v>14454375.979680002</v>
      </c>
      <c r="N40" s="4">
        <v>1177718</v>
      </c>
      <c r="O40" s="4">
        <v>2473543.0554599999</v>
      </c>
      <c r="P40" s="4">
        <v>500773</v>
      </c>
      <c r="Q40" s="4">
        <v>1438594.5842800001</v>
      </c>
      <c r="R40" s="4">
        <v>54</v>
      </c>
      <c r="S40" s="4">
        <v>1127.1776299999999</v>
      </c>
      <c r="T40" s="36">
        <f t="shared" si="2"/>
        <v>1678545</v>
      </c>
      <c r="U40" s="36">
        <f t="shared" si="3"/>
        <v>3913264.8173700003</v>
      </c>
    </row>
    <row r="41" spans="2:21" x14ac:dyDescent="0.3">
      <c r="B41" s="24" t="s">
        <v>43</v>
      </c>
      <c r="C41" s="24"/>
      <c r="D41" s="1"/>
      <c r="E41" s="1"/>
      <c r="F41" s="2"/>
      <c r="G41" s="2"/>
      <c r="H41" s="2"/>
      <c r="I41" s="2"/>
      <c r="J41" s="2"/>
      <c r="K41" s="2"/>
      <c r="L41" s="4"/>
      <c r="M41" s="4"/>
      <c r="N41" s="4"/>
      <c r="O41" s="4"/>
      <c r="P41" s="4"/>
      <c r="Q41" s="4"/>
      <c r="R41" s="4"/>
      <c r="S41" s="4"/>
      <c r="T41" s="36"/>
      <c r="U41" s="36"/>
    </row>
    <row r="42" spans="2:21" x14ac:dyDescent="0.3">
      <c r="B42" s="13">
        <v>34</v>
      </c>
      <c r="C42" s="10" t="s">
        <v>44</v>
      </c>
      <c r="D42" s="3">
        <v>1317153</v>
      </c>
      <c r="E42" s="3">
        <v>0</v>
      </c>
      <c r="F42" s="4">
        <v>1174095</v>
      </c>
      <c r="G42" s="4">
        <v>9112657.2540000007</v>
      </c>
      <c r="H42" s="4">
        <v>3150043</v>
      </c>
      <c r="I42" s="4">
        <v>25083621.346999999</v>
      </c>
      <c r="J42" s="4">
        <v>0</v>
      </c>
      <c r="K42" s="4">
        <v>0</v>
      </c>
      <c r="L42" s="4">
        <f t="shared" si="0"/>
        <v>4324138</v>
      </c>
      <c r="M42" s="4">
        <f t="shared" si="1"/>
        <v>34196278.600999996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36">
        <f t="shared" si="2"/>
        <v>0</v>
      </c>
      <c r="U42" s="36">
        <f t="shared" si="3"/>
        <v>0</v>
      </c>
    </row>
    <row r="43" spans="2:21" x14ac:dyDescent="0.3">
      <c r="B43" s="13">
        <v>35</v>
      </c>
      <c r="C43" s="10" t="s">
        <v>45</v>
      </c>
      <c r="D43" s="3">
        <v>0</v>
      </c>
      <c r="E43" s="3">
        <v>0</v>
      </c>
      <c r="F43" s="4">
        <v>1453</v>
      </c>
      <c r="G43" s="4">
        <v>7970.6911900000005</v>
      </c>
      <c r="H43" s="4">
        <v>758</v>
      </c>
      <c r="I43" s="4">
        <v>4648.6424299999999</v>
      </c>
      <c r="J43" s="4">
        <v>0</v>
      </c>
      <c r="K43" s="4">
        <v>0</v>
      </c>
      <c r="L43" s="4">
        <f t="shared" si="0"/>
        <v>2211</v>
      </c>
      <c r="M43" s="4">
        <f t="shared" si="1"/>
        <v>12619.333620000001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36">
        <f t="shared" si="2"/>
        <v>0</v>
      </c>
      <c r="U43" s="36">
        <f t="shared" si="3"/>
        <v>0</v>
      </c>
    </row>
    <row r="44" spans="2:21" x14ac:dyDescent="0.3">
      <c r="B44" s="13">
        <v>36</v>
      </c>
      <c r="C44" s="10" t="s">
        <v>46</v>
      </c>
      <c r="D44" s="3">
        <v>0</v>
      </c>
      <c r="E44" s="3">
        <v>893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f t="shared" si="0"/>
        <v>0</v>
      </c>
      <c r="M44" s="4">
        <f t="shared" si="1"/>
        <v>0</v>
      </c>
      <c r="N44" s="4">
        <v>33</v>
      </c>
      <c r="O44" s="4">
        <v>493.72750000000002</v>
      </c>
      <c r="P44" s="4">
        <v>3</v>
      </c>
      <c r="Q44" s="4">
        <v>0.72599999999999998</v>
      </c>
      <c r="R44" s="4">
        <v>0</v>
      </c>
      <c r="S44" s="4">
        <v>0</v>
      </c>
      <c r="T44" s="36">
        <f t="shared" si="2"/>
        <v>36</v>
      </c>
      <c r="U44" s="36">
        <f t="shared" si="3"/>
        <v>494.45350000000002</v>
      </c>
    </row>
    <row r="45" spans="2:21" x14ac:dyDescent="0.3">
      <c r="B45" s="13">
        <v>37</v>
      </c>
      <c r="C45" s="10" t="s">
        <v>47</v>
      </c>
      <c r="D45" s="3">
        <v>2487796</v>
      </c>
      <c r="E45" s="3">
        <v>1282384</v>
      </c>
      <c r="F45" s="4">
        <v>8924726</v>
      </c>
      <c r="G45" s="4">
        <v>24833190.016240001</v>
      </c>
      <c r="H45" s="4">
        <v>3054411</v>
      </c>
      <c r="I45" s="4">
        <v>18085342.54978</v>
      </c>
      <c r="J45" s="4">
        <v>0</v>
      </c>
      <c r="K45" s="4">
        <v>0</v>
      </c>
      <c r="L45" s="4">
        <f t="shared" si="0"/>
        <v>11979137</v>
      </c>
      <c r="M45" s="4">
        <f t="shared" si="1"/>
        <v>42918532.566019997</v>
      </c>
      <c r="N45" s="4">
        <v>876309</v>
      </c>
      <c r="O45" s="4">
        <v>2528017.0856300001</v>
      </c>
      <c r="P45" s="4">
        <v>806416</v>
      </c>
      <c r="Q45" s="4">
        <v>2677640.7568800002</v>
      </c>
      <c r="R45" s="4">
        <v>0</v>
      </c>
      <c r="S45" s="4">
        <v>0</v>
      </c>
      <c r="T45" s="36">
        <f t="shared" si="2"/>
        <v>1682725</v>
      </c>
      <c r="U45" s="36">
        <f t="shared" si="3"/>
        <v>5205657.8425099999</v>
      </c>
    </row>
    <row r="46" spans="2:21" x14ac:dyDescent="0.3">
      <c r="B46" s="13">
        <v>38</v>
      </c>
      <c r="C46" s="10" t="s">
        <v>48</v>
      </c>
      <c r="D46" s="3">
        <v>146293</v>
      </c>
      <c r="E46" s="3">
        <v>1793087</v>
      </c>
      <c r="F46" s="4">
        <v>176153</v>
      </c>
      <c r="G46" s="4">
        <v>663928.27790998761</v>
      </c>
      <c r="H46" s="4">
        <v>113279</v>
      </c>
      <c r="I46" s="4">
        <v>939859.3264400136</v>
      </c>
      <c r="J46" s="4">
        <v>0</v>
      </c>
      <c r="K46" s="4">
        <v>0</v>
      </c>
      <c r="L46" s="4">
        <f t="shared" si="0"/>
        <v>289432</v>
      </c>
      <c r="M46" s="4">
        <f t="shared" si="1"/>
        <v>1603787.6043500011</v>
      </c>
      <c r="N46" s="4">
        <v>488404</v>
      </c>
      <c r="O46" s="4">
        <v>805061.21602000005</v>
      </c>
      <c r="P46" s="4">
        <v>146358</v>
      </c>
      <c r="Q46" s="4">
        <v>316429.30136000004</v>
      </c>
      <c r="R46" s="4">
        <v>28</v>
      </c>
      <c r="S46" s="4">
        <v>377.55</v>
      </c>
      <c r="T46" s="36">
        <f t="shared" si="2"/>
        <v>634790</v>
      </c>
      <c r="U46" s="36">
        <f t="shared" si="3"/>
        <v>1121868.0673800001</v>
      </c>
    </row>
    <row r="47" spans="2:21" x14ac:dyDescent="0.3">
      <c r="B47" s="13">
        <v>39</v>
      </c>
      <c r="C47" s="10" t="s">
        <v>49</v>
      </c>
      <c r="D47" s="3">
        <v>0</v>
      </c>
      <c r="E47" s="3">
        <v>116949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f t="shared" si="0"/>
        <v>0</v>
      </c>
      <c r="M47" s="4">
        <f t="shared" si="1"/>
        <v>0</v>
      </c>
      <c r="N47" s="4">
        <v>74464</v>
      </c>
      <c r="O47" s="4">
        <v>186442.71462999741</v>
      </c>
      <c r="P47" s="4">
        <v>8077</v>
      </c>
      <c r="Q47" s="4">
        <v>44058.700680000074</v>
      </c>
      <c r="R47" s="4">
        <v>0</v>
      </c>
      <c r="S47" s="4">
        <v>0</v>
      </c>
      <c r="T47" s="36">
        <f t="shared" si="2"/>
        <v>82541</v>
      </c>
      <c r="U47" s="36">
        <f t="shared" si="3"/>
        <v>230501.41530999748</v>
      </c>
    </row>
    <row r="48" spans="2:21" x14ac:dyDescent="0.3">
      <c r="B48" s="13">
        <v>40</v>
      </c>
      <c r="C48" s="10" t="s">
        <v>50</v>
      </c>
      <c r="D48" s="3">
        <v>695122</v>
      </c>
      <c r="E48" s="3">
        <v>562758</v>
      </c>
      <c r="F48" s="4">
        <v>817737</v>
      </c>
      <c r="G48" s="4">
        <v>2723786.4849999999</v>
      </c>
      <c r="H48" s="4">
        <v>1058015</v>
      </c>
      <c r="I48" s="4">
        <v>4558118.3320000004</v>
      </c>
      <c r="J48" s="4">
        <v>0</v>
      </c>
      <c r="K48" s="4">
        <v>0</v>
      </c>
      <c r="L48" s="4">
        <f t="shared" si="0"/>
        <v>1875752</v>
      </c>
      <c r="M48" s="4">
        <f t="shared" si="1"/>
        <v>7281904.8169999998</v>
      </c>
      <c r="N48" s="4">
        <v>361025</v>
      </c>
      <c r="O48" s="4">
        <v>1110492.423</v>
      </c>
      <c r="P48" s="4">
        <v>0</v>
      </c>
      <c r="Q48" s="4">
        <v>0</v>
      </c>
      <c r="R48" s="4">
        <v>0</v>
      </c>
      <c r="S48" s="4">
        <v>0</v>
      </c>
      <c r="T48" s="36">
        <f t="shared" si="2"/>
        <v>361025</v>
      </c>
      <c r="U48" s="36">
        <f t="shared" si="3"/>
        <v>1110492.423</v>
      </c>
    </row>
    <row r="49" spans="1:21" x14ac:dyDescent="0.3">
      <c r="A49" s="6" t="s">
        <v>51</v>
      </c>
      <c r="B49" s="13">
        <v>41</v>
      </c>
      <c r="C49" s="22" t="s">
        <v>52</v>
      </c>
      <c r="D49" s="3">
        <v>968018</v>
      </c>
      <c r="E49" s="3">
        <v>470671</v>
      </c>
      <c r="F49" s="4">
        <v>481896</v>
      </c>
      <c r="G49" s="4">
        <v>1522199.8160000001</v>
      </c>
      <c r="H49" s="4">
        <v>1069583</v>
      </c>
      <c r="I49" s="4">
        <v>4358637.3389999997</v>
      </c>
      <c r="J49" s="4">
        <v>0</v>
      </c>
      <c r="K49" s="4">
        <v>0</v>
      </c>
      <c r="L49" s="4">
        <f t="shared" si="0"/>
        <v>1551479</v>
      </c>
      <c r="M49" s="4">
        <f t="shared" si="1"/>
        <v>5880837.1549999993</v>
      </c>
      <c r="N49" s="4">
        <v>19795</v>
      </c>
      <c r="O49" s="4">
        <v>47319.385999999999</v>
      </c>
      <c r="P49" s="4">
        <v>58118</v>
      </c>
      <c r="Q49" s="4">
        <v>137272.984</v>
      </c>
      <c r="R49" s="4">
        <v>0</v>
      </c>
      <c r="S49" s="4">
        <v>0</v>
      </c>
      <c r="T49" s="36">
        <f t="shared" si="2"/>
        <v>77913</v>
      </c>
      <c r="U49" s="36">
        <f t="shared" si="3"/>
        <v>184592.37</v>
      </c>
    </row>
    <row r="50" spans="1:21" x14ac:dyDescent="0.3">
      <c r="B50" s="13">
        <v>42</v>
      </c>
      <c r="C50" s="12" t="s">
        <v>53</v>
      </c>
      <c r="D50" s="3">
        <v>1073904</v>
      </c>
      <c r="E50" s="3">
        <v>1154130</v>
      </c>
      <c r="F50" s="4">
        <v>1584838</v>
      </c>
      <c r="G50" s="4">
        <v>4950860.9730000002</v>
      </c>
      <c r="H50" s="4">
        <v>1400006</v>
      </c>
      <c r="I50" s="4">
        <v>6449094.7560000001</v>
      </c>
      <c r="J50" s="4">
        <v>0</v>
      </c>
      <c r="K50" s="4">
        <v>0</v>
      </c>
      <c r="L50" s="4">
        <f t="shared" si="0"/>
        <v>2984844</v>
      </c>
      <c r="M50" s="4">
        <f t="shared" si="1"/>
        <v>11399955.729</v>
      </c>
      <c r="N50" s="4">
        <v>1081397</v>
      </c>
      <c r="O50" s="4">
        <v>2356874.375</v>
      </c>
      <c r="P50" s="4">
        <v>133610</v>
      </c>
      <c r="Q50" s="4">
        <v>634969.57400000002</v>
      </c>
      <c r="R50" s="4">
        <v>31</v>
      </c>
      <c r="S50" s="4">
        <v>612.05700000000002</v>
      </c>
      <c r="T50" s="36">
        <f t="shared" si="2"/>
        <v>1215038</v>
      </c>
      <c r="U50" s="36">
        <f t="shared" si="3"/>
        <v>2992456.0060000001</v>
      </c>
    </row>
    <row r="51" spans="1:21" x14ac:dyDescent="0.3">
      <c r="B51" s="13">
        <v>43</v>
      </c>
      <c r="C51" s="12" t="s">
        <v>54</v>
      </c>
      <c r="D51" s="3">
        <v>0</v>
      </c>
      <c r="E51" s="3">
        <v>1121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f t="shared" si="0"/>
        <v>0</v>
      </c>
      <c r="M51" s="4">
        <f t="shared" si="1"/>
        <v>0</v>
      </c>
      <c r="N51" s="4">
        <v>5028</v>
      </c>
      <c r="O51" s="4">
        <v>16178.390810000001</v>
      </c>
      <c r="P51" s="4">
        <v>1704</v>
      </c>
      <c r="Q51" s="4">
        <v>4906.2427500000003</v>
      </c>
      <c r="R51" s="4">
        <v>0</v>
      </c>
      <c r="S51" s="4">
        <v>0</v>
      </c>
      <c r="T51" s="36">
        <f t="shared" si="2"/>
        <v>6732</v>
      </c>
      <c r="U51" s="36">
        <f t="shared" si="3"/>
        <v>21084.633560000002</v>
      </c>
    </row>
    <row r="52" spans="1:21" s="19" customFormat="1" x14ac:dyDescent="0.3">
      <c r="A52" s="18"/>
      <c r="B52" s="25" t="s">
        <v>55</v>
      </c>
      <c r="C52" s="25"/>
      <c r="D52" s="8">
        <f>SUM(D7:D51)</f>
        <v>80800630</v>
      </c>
      <c r="E52" s="8">
        <f>SUM(E7:E51)</f>
        <v>854697308</v>
      </c>
      <c r="F52" s="8">
        <f>SUM(F7:F51)</f>
        <v>140011209</v>
      </c>
      <c r="G52" s="8">
        <f>SUM(G7:G51)</f>
        <v>482905073.21148008</v>
      </c>
      <c r="H52" s="8">
        <f>SUM(H7:H51)</f>
        <v>114418046</v>
      </c>
      <c r="I52" s="8">
        <f>SUM(I7:I51)</f>
        <v>774944010.55062008</v>
      </c>
      <c r="J52" s="8">
        <f>SUM(J7:J51)</f>
        <v>66</v>
      </c>
      <c r="K52" s="8">
        <f>SUM(K7:K51)</f>
        <v>2440.1787999999997</v>
      </c>
      <c r="L52" s="31">
        <f t="shared" si="0"/>
        <v>254429321</v>
      </c>
      <c r="M52" s="31">
        <f t="shared" si="1"/>
        <v>1257851523.9409001</v>
      </c>
      <c r="N52" s="8">
        <f>SUM(N7:N51)</f>
        <v>183915079</v>
      </c>
      <c r="O52" s="8">
        <f>SUM(O7:O51)</f>
        <v>392375503.6699</v>
      </c>
      <c r="P52" s="8">
        <f>SUM(P7:P51)</f>
        <v>77849548</v>
      </c>
      <c r="Q52" s="8">
        <f>SUM(Q7:Q51)</f>
        <v>182646233.31988996</v>
      </c>
      <c r="R52" s="8">
        <f>SUM(R7:R51)</f>
        <v>204111</v>
      </c>
      <c r="S52" s="8">
        <f>SUM(S7:S51)</f>
        <v>3218883.4489199999</v>
      </c>
      <c r="T52" s="37">
        <f t="shared" si="2"/>
        <v>261968738</v>
      </c>
      <c r="U52" s="37">
        <f t="shared" si="3"/>
        <v>578240620.43870997</v>
      </c>
    </row>
    <row r="53" spans="1:21" x14ac:dyDescent="0.3">
      <c r="A53" s="20"/>
      <c r="B53" s="9"/>
      <c r="C53" s="9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</row>
  </sheetData>
  <mergeCells count="22">
    <mergeCell ref="F2:M2"/>
    <mergeCell ref="F3:M3"/>
    <mergeCell ref="N2:U2"/>
    <mergeCell ref="N3:U3"/>
    <mergeCell ref="T4:U4"/>
    <mergeCell ref="E3:E5"/>
    <mergeCell ref="F4:G4"/>
    <mergeCell ref="H4:I4"/>
    <mergeCell ref="J4:K4"/>
    <mergeCell ref="L4:M4"/>
    <mergeCell ref="N4:O4"/>
    <mergeCell ref="P4:Q4"/>
    <mergeCell ref="R4:S4"/>
    <mergeCell ref="B2:B5"/>
    <mergeCell ref="C2:C5"/>
    <mergeCell ref="D2:E2"/>
    <mergeCell ref="D3:D5"/>
    <mergeCell ref="D53:S53"/>
    <mergeCell ref="B52:C52"/>
    <mergeCell ref="B6:C6"/>
    <mergeCell ref="B19:C19"/>
    <mergeCell ref="B41:C41"/>
  </mergeCells>
  <pageMargins left="0" right="0" top="0" bottom="3.937007874015748E-2" header="0" footer="3.937007874015748E-2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Revised December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Sanjay Hase</dc:creator>
  <cp:lastModifiedBy>Manas</cp:lastModifiedBy>
  <cp:lastPrinted>2023-05-18T13:33:30Z</cp:lastPrinted>
  <dcterms:created xsi:type="dcterms:W3CDTF">2023-01-23T05:20:15Z</dcterms:created>
  <dcterms:modified xsi:type="dcterms:W3CDTF">2023-07-18T15:11:42Z</dcterms:modified>
</cp:coreProperties>
</file>