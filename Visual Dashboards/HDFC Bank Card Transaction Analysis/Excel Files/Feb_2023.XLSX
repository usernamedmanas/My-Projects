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E:\Data Portfolio Project\HDFC Bank Card Transaction Analysis\Excel Files\"/>
    </mc:Choice>
  </mc:AlternateContent>
  <xr:revisionPtr revIDLastSave="0" documentId="13_ncr:1_{49D9CE30-7B6E-4774-AC06-8DC6DCEAFD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vised February 202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2" i="1" l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0" i="1"/>
  <c r="U40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T51" i="1"/>
  <c r="U51" i="1"/>
  <c r="U7" i="1"/>
  <c r="T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M52" i="1"/>
  <c r="M7" i="1"/>
  <c r="L7" i="1"/>
  <c r="S52" i="1"/>
  <c r="R52" i="1"/>
  <c r="Q52" i="1"/>
  <c r="P52" i="1"/>
  <c r="O52" i="1"/>
  <c r="K52" i="1"/>
  <c r="J52" i="1"/>
  <c r="L52" i="1" s="1"/>
  <c r="I52" i="1"/>
  <c r="H52" i="1"/>
  <c r="G52" i="1"/>
  <c r="F52" i="1"/>
  <c r="E52" i="1"/>
  <c r="D52" i="1"/>
  <c r="U52" i="1" l="1"/>
  <c r="T52" i="1" l="1"/>
</calcChain>
</file>

<file path=xl/sharedStrings.xml><?xml version="1.0" encoding="utf-8"?>
<sst xmlns="http://schemas.openxmlformats.org/spreadsheetml/2006/main" count="78" uniqueCount="62">
  <si>
    <t>Credit Card</t>
  </si>
  <si>
    <t>Debit Card</t>
  </si>
  <si>
    <t>Credit Cards</t>
  </si>
  <si>
    <t>Debit Cards</t>
  </si>
  <si>
    <t>Card Payments Transactions</t>
  </si>
  <si>
    <t>at PoS</t>
  </si>
  <si>
    <t>Online (e-com)</t>
  </si>
  <si>
    <t>Others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</si>
  <si>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</si>
  <si>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</si>
  <si>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</si>
  <si>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</si>
  <si>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</si>
  <si>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</si>
  <si>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</si>
  <si>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</si>
  <si>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</si>
  <si>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</si>
  <si>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</si>
  <si>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</si>
  <si>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</si>
  <si>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</si>
  <si>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</si>
  <si>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</si>
  <si>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</si>
  <si>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</si>
  <si>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</si>
  <si>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</si>
  <si>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</si>
  <si>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</si>
  <si>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</si>
  <si>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</si>
  <si>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</si>
  <si>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</si>
  <si>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</si>
  <si>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</si>
  <si>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</si>
  <si>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</si>
  <si>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</si>
  <si>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</si>
  <si>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</si>
  <si>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</si>
  <si>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</si>
  <si>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</si>
  <si>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</si>
  <si>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</si>
  <si>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</si>
  <si>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</si>
  <si>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</si>
  <si>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</si>
  <si>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</si>
  <si>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 xml:space="preserve"> </t>
  </si>
  <si>
    <t>SBM BANK INDIA LTD</t>
  </si>
  <si>
    <t>STANDARD CHARTERED BANK LTD</t>
  </si>
  <si>
    <t>WOORI BANK</t>
  </si>
  <si>
    <t>Total</t>
  </si>
  <si>
    <t>Volume       (in actuals)</t>
  </si>
  <si>
    <t>Value        (in Rs'000)</t>
  </si>
  <si>
    <t>Volume         (in actuals)</t>
  </si>
  <si>
    <t>Value         (in Rs'000)</t>
  </si>
  <si>
    <t>Value       (in Rs'000)</t>
  </si>
  <si>
    <t>Volume      (in actuals)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</si>
</sst>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4">
    <xf numFmtId="0" fontId="0" fillId="0" borderId="0" xfId="0"/>
    <xf numFmtId="0" fontId="6" fillId="2" borderId="3" xfId="2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vertical="center"/>
      <protection locked="0"/>
    </xf>
    <xf numFmtId="0" fontId="5" fillId="2" borderId="3" xfId="0" applyFont="1" applyFill="1" applyBorder="1" applyAlignment="1">
      <alignment horizontal="right" vertical="center"/>
    </xf>
    <xf numFmtId="0" fontId="5" fillId="2" borderId="3" xfId="0" applyFont="1" applyFill="1" applyBorder="1" applyAlignment="1">
      <alignment vertical="center"/>
    </xf>
    <xf numFmtId="0" fontId="3" fillId="2" borderId="3" xfId="0" applyFont="1" applyFill="1" applyBorder="1" applyProtection="1">
      <protection locked="0"/>
    </xf>
    <xf numFmtId="0" fontId="7" fillId="2" borderId="3" xfId="0" applyFont="1" applyFill="1" applyBorder="1" applyAlignment="1" applyProtection="1">
      <alignment horizontal="center"/>
      <protection locked="0"/>
    </xf>
    <xf numFmtId="0" fontId="7" fillId="2" borderId="3" xfId="0" applyFont="1" applyFill="1" applyBorder="1" applyAlignment="1" applyProtection="1">
      <alignment horizontal="left"/>
      <protection locked="0"/>
    </xf>
    <xf numFmtId="0" fontId="7" fillId="2" borderId="3" xfId="0" applyFont="1" applyFill="1" applyBorder="1" applyAlignment="1">
      <alignment horizontal="right"/>
    </xf>
    <xf numFmtId="1" fontId="3" fillId="2" borderId="3" xfId="0" applyNumberFormat="1" applyFont="1" applyFill="1" applyBorder="1"/>
    <xf numFmtId="0" fontId="3" fillId="2" borderId="3" xfId="0" applyFont="1" applyFill="1" applyBorder="1" applyAlignment="1" applyProtection="1">
      <alignment horizontal="left"/>
      <protection locked="0"/>
    </xf>
    <xf numFmtId="0" fontId="3" fillId="2" borderId="3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1" fontId="5" fillId="2" borderId="3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 applyProtection="1">
      <alignment horizontal="left"/>
      <protection locked="0"/>
    </xf>
    <xf numFmtId="0" fontId="5" fillId="2" borderId="0" xfId="0" applyFont="1" applyFill="1"/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left"/>
      <protection locked="0"/>
    </xf>
    <xf numFmtId="0" fontId="4" fillId="2" borderId="3" xfId="1" applyFont="1" applyFill="1" applyBorder="1" applyAlignment="1" applyProtection="1">
      <alignment horizontal="center" vertical="center"/>
      <protection locked="0"/>
    </xf>
    <xf numFmtId="0" fontId="4" fillId="2" borderId="3" xfId="1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4" fillId="2" borderId="2" xfId="1" applyFont="1" applyFill="1" applyBorder="1" applyAlignment="1" applyProtection="1">
      <alignment horizontal="center" vertical="center"/>
      <protection locked="0"/>
    </xf>
    <xf numFmtId="0" fontId="4" fillId="2" borderId="4" xfId="1" applyFont="1" applyFill="1" applyBorder="1" applyAlignment="1" applyProtection="1">
      <alignment horizontal="center" vertical="center"/>
      <protection locked="0"/>
    </xf>
    <xf numFmtId="0" fontId="4" fillId="2" borderId="1" xfId="1" applyFont="1" applyFill="1" applyBorder="1" applyAlignment="1" applyProtection="1">
      <alignment horizontal="center" vertical="center"/>
      <protection locked="0"/>
    </xf>
    <xf numFmtId="0" fontId="4" fillId="2" borderId="5" xfId="1" applyFont="1" applyFill="1" applyBorder="1" applyAlignment="1" applyProtection="1">
      <alignment horizontal="center" vertical="center"/>
      <protection locked="0"/>
    </xf>
    <xf numFmtId="0" fontId="4" fillId="2" borderId="0" xfId="1" applyFont="1" applyFill="1" applyBorder="1" applyAlignment="1" applyProtection="1">
      <alignment horizontal="center" vertical="center"/>
      <protection locked="0"/>
    </xf>
    <xf numFmtId="1" fontId="5" fillId="2" borderId="3" xfId="0" applyNumberFormat="1" applyFont="1" applyFill="1" applyBorder="1"/>
    <xf numFmtId="1" fontId="3" fillId="2" borderId="0" xfId="0" applyNumberFormat="1" applyFont="1" applyFill="1"/>
    <xf numFmtId="1" fontId="5" fillId="2" borderId="0" xfId="0" applyNumberFormat="1" applyFont="1" applyFill="1"/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2:U53"/>
  <sheetViews>
    <sheetView tabSelected="1" workbookViewId="0">
      <pane xSplit="3" ySplit="5" topLeftCell="F6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A2" sqref="A2:XFD2"/>
    </sheetView>
  </sheetViews>
  <sheetFormatPr defaultColWidth="8.88671875" defaultRowHeight="11.4" x14ac:dyDescent="0.2"/>
  <cols>
    <col min="1" max="1" width="4.44140625" style="12" customWidth="1"/>
    <col min="2" max="2" width="5.109375" style="13" customWidth="1"/>
    <col min="3" max="3" width="39.5546875" style="13" customWidth="1"/>
    <col min="4" max="4" width="9.109375" style="13" customWidth="1"/>
    <col min="5" max="5" width="10.6640625" style="13" customWidth="1"/>
    <col min="6" max="9" width="10" style="13" bestFit="1" customWidth="1"/>
    <col min="10" max="10" width="7.88671875" style="13" customWidth="1"/>
    <col min="11" max="11" width="7.5546875" style="13" customWidth="1"/>
    <col min="12" max="12" width="9.77734375" style="13" customWidth="1"/>
    <col min="13" max="13" width="10.6640625" style="13" customWidth="1"/>
    <col min="14" max="15" width="10" style="13" bestFit="1" customWidth="1"/>
    <col min="16" max="16" width="9.5546875" style="13" bestFit="1" customWidth="1"/>
    <col min="17" max="17" width="10" style="13" bestFit="1" customWidth="1"/>
    <col min="18" max="18" width="7.88671875" style="13" customWidth="1"/>
    <col min="19" max="19" width="8" style="13" bestFit="1" customWidth="1"/>
    <col min="20" max="20" width="12.33203125" style="13" customWidth="1"/>
    <col min="21" max="16384" width="8.88671875" style="13"/>
  </cols>
  <sheetData>
    <row r="2" spans="1:21" ht="12" x14ac:dyDescent="0.2">
      <c r="B2" s="23"/>
      <c r="C2" s="22"/>
      <c r="D2" s="23"/>
      <c r="E2" s="23"/>
      <c r="F2" s="26" t="s">
        <v>0</v>
      </c>
      <c r="G2" s="27"/>
      <c r="H2" s="27"/>
      <c r="I2" s="27"/>
      <c r="J2" s="27"/>
      <c r="K2" s="27"/>
      <c r="L2" s="27"/>
      <c r="M2" s="28"/>
      <c r="N2" s="29" t="s">
        <v>1</v>
      </c>
      <c r="O2" s="30"/>
      <c r="P2" s="30"/>
      <c r="Q2" s="30"/>
      <c r="R2" s="30"/>
      <c r="S2" s="30"/>
      <c r="T2" s="30"/>
      <c r="U2" s="30"/>
    </row>
    <row r="3" spans="1:21" ht="12" x14ac:dyDescent="0.2">
      <c r="B3" s="23"/>
      <c r="C3" s="22"/>
      <c r="D3" s="23" t="s">
        <v>2</v>
      </c>
      <c r="E3" s="23" t="s">
        <v>3</v>
      </c>
      <c r="F3" s="26" t="s">
        <v>4</v>
      </c>
      <c r="G3" s="27"/>
      <c r="H3" s="27"/>
      <c r="I3" s="27"/>
      <c r="J3" s="27"/>
      <c r="K3" s="27"/>
      <c r="L3" s="27"/>
      <c r="M3" s="28"/>
      <c r="N3" s="29" t="s">
        <v>4</v>
      </c>
      <c r="O3" s="30"/>
      <c r="P3" s="30"/>
      <c r="Q3" s="30"/>
      <c r="R3" s="30"/>
      <c r="S3" s="30"/>
      <c r="T3" s="30"/>
      <c r="U3" s="30"/>
    </row>
    <row r="4" spans="1:21" ht="21.6" customHeight="1" x14ac:dyDescent="0.2">
      <c r="B4" s="23"/>
      <c r="C4" s="22"/>
      <c r="D4" s="23"/>
      <c r="E4" s="23"/>
      <c r="F4" s="23" t="s">
        <v>5</v>
      </c>
      <c r="G4" s="23"/>
      <c r="H4" s="23" t="s">
        <v>6</v>
      </c>
      <c r="I4" s="23"/>
      <c r="J4" s="22" t="s">
        <v>7</v>
      </c>
      <c r="K4" s="22"/>
      <c r="L4" s="26" t="s">
        <v>55</v>
      </c>
      <c r="M4" s="28"/>
      <c r="N4" s="23" t="s">
        <v>5</v>
      </c>
      <c r="O4" s="23"/>
      <c r="P4" s="23" t="s">
        <v>6</v>
      </c>
      <c r="Q4" s="23"/>
      <c r="R4" s="22" t="s">
        <v>7</v>
      </c>
      <c r="S4" s="22"/>
      <c r="T4" s="26" t="s">
        <v>55</v>
      </c>
      <c r="U4" s="28"/>
    </row>
    <row r="5" spans="1:21" s="16" customFormat="1" ht="36" x14ac:dyDescent="0.3">
      <c r="A5" s="15"/>
      <c r="B5" s="23"/>
      <c r="C5" s="22"/>
      <c r="D5" s="23"/>
      <c r="E5" s="23"/>
      <c r="F5" s="1" t="s">
        <v>56</v>
      </c>
      <c r="G5" s="1" t="s">
        <v>57</v>
      </c>
      <c r="H5" s="1" t="s">
        <v>58</v>
      </c>
      <c r="I5" s="1" t="s">
        <v>59</v>
      </c>
      <c r="J5" s="1" t="s">
        <v>56</v>
      </c>
      <c r="K5" s="1" t="s">
        <v>60</v>
      </c>
      <c r="L5" s="1" t="s">
        <v>56</v>
      </c>
      <c r="M5" s="1" t="s">
        <v>60</v>
      </c>
      <c r="N5" s="1" t="s">
        <v>61</v>
      </c>
      <c r="O5" s="1" t="s">
        <v>57</v>
      </c>
      <c r="P5" s="1" t="s">
        <v>56</v>
      </c>
      <c r="Q5" s="1" t="s">
        <v>59</v>
      </c>
      <c r="R5" s="1" t="s">
        <v>58</v>
      </c>
      <c r="S5" s="1" t="s">
        <v>57</v>
      </c>
      <c r="T5" s="1" t="s">
        <v>56</v>
      </c>
      <c r="U5" s="1" t="s">
        <v>60</v>
      </c>
    </row>
    <row r="6" spans="1:21" ht="12" x14ac:dyDescent="0.2">
      <c r="B6" s="2" t="s">
        <v>8</v>
      </c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1" x14ac:dyDescent="0.2">
      <c r="B7" s="6">
        <v>1</v>
      </c>
      <c r="C7" s="7" t="s">
        <v>9</v>
      </c>
      <c r="D7" s="8">
        <v>1888684</v>
      </c>
      <c r="E7" s="8">
        <v>81510140</v>
      </c>
      <c r="F7" s="9">
        <v>2059637</v>
      </c>
      <c r="G7" s="9">
        <v>6220913.1754899994</v>
      </c>
      <c r="H7" s="9">
        <v>1833158</v>
      </c>
      <c r="I7" s="9">
        <v>9767627.0580000002</v>
      </c>
      <c r="J7" s="9">
        <v>0</v>
      </c>
      <c r="K7" s="9">
        <v>0</v>
      </c>
      <c r="L7" s="9">
        <f>J7+H7+F7</f>
        <v>3892795</v>
      </c>
      <c r="M7" s="9">
        <f>K7+I7+G7</f>
        <v>15988540.23349</v>
      </c>
      <c r="N7" s="9">
        <v>5944404</v>
      </c>
      <c r="O7" s="9">
        <v>11688350.957480064</v>
      </c>
      <c r="P7" s="9">
        <v>1826493</v>
      </c>
      <c r="Q7" s="9">
        <v>4942634.6135197775</v>
      </c>
      <c r="R7" s="9">
        <v>8</v>
      </c>
      <c r="S7" s="9">
        <v>15.65</v>
      </c>
      <c r="T7" s="32">
        <f>R7+P7+N7</f>
        <v>7770905</v>
      </c>
      <c r="U7" s="32">
        <f>S7+Q7+O7</f>
        <v>16631001.220999841</v>
      </c>
    </row>
    <row r="8" spans="1:21" x14ac:dyDescent="0.2">
      <c r="B8" s="6">
        <v>2</v>
      </c>
      <c r="C8" s="7" t="s">
        <v>10</v>
      </c>
      <c r="D8" s="8">
        <v>84801</v>
      </c>
      <c r="E8" s="8">
        <v>47251202</v>
      </c>
      <c r="F8" s="9">
        <v>142422</v>
      </c>
      <c r="G8" s="9">
        <v>507585.41232999985</v>
      </c>
      <c r="H8" s="9">
        <v>62166</v>
      </c>
      <c r="I8" s="9">
        <v>224711.23160999996</v>
      </c>
      <c r="J8" s="9">
        <v>0</v>
      </c>
      <c r="K8" s="9">
        <v>0</v>
      </c>
      <c r="L8" s="9">
        <f t="shared" ref="L8:L51" si="0">J8+H8+F8</f>
        <v>204588</v>
      </c>
      <c r="M8" s="9">
        <f t="shared" ref="M8:M51" si="1">K8+I8+G8</f>
        <v>732296.64393999986</v>
      </c>
      <c r="N8" s="9">
        <v>3928941</v>
      </c>
      <c r="O8" s="9">
        <v>6995597.4687200002</v>
      </c>
      <c r="P8" s="9">
        <v>1458387</v>
      </c>
      <c r="Q8" s="9">
        <v>2336168.26719</v>
      </c>
      <c r="R8" s="9">
        <v>0</v>
      </c>
      <c r="S8" s="9">
        <v>0</v>
      </c>
      <c r="T8" s="32">
        <f t="shared" ref="T8:T51" si="2">R8+P8+N8</f>
        <v>5387328</v>
      </c>
      <c r="U8" s="32">
        <f t="shared" ref="U8:U51" si="3">S8+Q8+O8</f>
        <v>9331765.7359100003</v>
      </c>
    </row>
    <row r="9" spans="1:21" x14ac:dyDescent="0.2">
      <c r="B9" s="6">
        <v>3</v>
      </c>
      <c r="C9" s="10" t="s">
        <v>11</v>
      </c>
      <c r="D9" s="11">
        <v>33639</v>
      </c>
      <c r="E9" s="11">
        <v>13296825</v>
      </c>
      <c r="F9" s="9">
        <v>51567</v>
      </c>
      <c r="G9" s="9">
        <v>208526.54397001397</v>
      </c>
      <c r="H9" s="9">
        <v>21402</v>
      </c>
      <c r="I9" s="9">
        <v>110223.78661999904</v>
      </c>
      <c r="J9" s="9">
        <v>0</v>
      </c>
      <c r="K9" s="9">
        <v>0</v>
      </c>
      <c r="L9" s="9">
        <f t="shared" si="0"/>
        <v>72969</v>
      </c>
      <c r="M9" s="9">
        <f t="shared" si="1"/>
        <v>318750.33059001301</v>
      </c>
      <c r="N9" s="9">
        <v>1639749</v>
      </c>
      <c r="O9" s="9">
        <v>2570241.48685</v>
      </c>
      <c r="P9" s="9">
        <v>618127</v>
      </c>
      <c r="Q9" s="9">
        <v>928453.70449000003</v>
      </c>
      <c r="R9" s="9">
        <v>7504</v>
      </c>
      <c r="S9" s="9">
        <v>85000.614099999992</v>
      </c>
      <c r="T9" s="32">
        <f t="shared" si="2"/>
        <v>2265380</v>
      </c>
      <c r="U9" s="32">
        <f t="shared" si="3"/>
        <v>3583695.8054400003</v>
      </c>
    </row>
    <row r="10" spans="1:21" x14ac:dyDescent="0.2">
      <c r="B10" s="6">
        <v>4</v>
      </c>
      <c r="C10" s="7" t="s">
        <v>12</v>
      </c>
      <c r="D10" s="8">
        <v>615427</v>
      </c>
      <c r="E10" s="8">
        <v>50582378</v>
      </c>
      <c r="F10" s="9">
        <v>691272</v>
      </c>
      <c r="G10" s="9">
        <v>2005915.8510699999</v>
      </c>
      <c r="H10" s="9">
        <v>301278</v>
      </c>
      <c r="I10" s="9">
        <v>1177480.2018800001</v>
      </c>
      <c r="J10" s="9">
        <v>0</v>
      </c>
      <c r="K10" s="9">
        <v>0</v>
      </c>
      <c r="L10" s="9">
        <f t="shared" si="0"/>
        <v>992550</v>
      </c>
      <c r="M10" s="9">
        <f t="shared" si="1"/>
        <v>3183396.0529499999</v>
      </c>
      <c r="N10" s="9">
        <v>7720155</v>
      </c>
      <c r="O10" s="9">
        <v>16462205.659119999</v>
      </c>
      <c r="P10" s="9">
        <v>2200384</v>
      </c>
      <c r="Q10" s="9">
        <v>4743194.4493300002</v>
      </c>
      <c r="R10" s="9">
        <v>5185</v>
      </c>
      <c r="S10" s="9">
        <v>81981.638000000006</v>
      </c>
      <c r="T10" s="32">
        <f t="shared" si="2"/>
        <v>9925724</v>
      </c>
      <c r="U10" s="32">
        <f t="shared" si="3"/>
        <v>21287381.74645</v>
      </c>
    </row>
    <row r="11" spans="1:21" x14ac:dyDescent="0.2">
      <c r="B11" s="6">
        <v>5</v>
      </c>
      <c r="C11" s="7" t="s">
        <v>13</v>
      </c>
      <c r="D11" s="8">
        <v>0</v>
      </c>
      <c r="E11" s="8">
        <v>28316825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f t="shared" si="0"/>
        <v>0</v>
      </c>
      <c r="M11" s="9">
        <f t="shared" si="1"/>
        <v>0</v>
      </c>
      <c r="N11" s="9">
        <v>2523211</v>
      </c>
      <c r="O11" s="9">
        <v>5566694.9040000001</v>
      </c>
      <c r="P11" s="9">
        <v>450742</v>
      </c>
      <c r="Q11" s="9">
        <v>1037175.9</v>
      </c>
      <c r="R11" s="9">
        <v>0</v>
      </c>
      <c r="S11" s="9">
        <v>0</v>
      </c>
      <c r="T11" s="32">
        <f t="shared" si="2"/>
        <v>2973953</v>
      </c>
      <c r="U11" s="32">
        <f t="shared" si="3"/>
        <v>6603870.8040000005</v>
      </c>
    </row>
    <row r="12" spans="1:21" x14ac:dyDescent="0.2">
      <c r="B12" s="6">
        <v>6</v>
      </c>
      <c r="C12" s="7" t="s">
        <v>14</v>
      </c>
      <c r="D12" s="8">
        <v>159407</v>
      </c>
      <c r="E12" s="8">
        <v>31055145</v>
      </c>
      <c r="F12" s="9">
        <v>120530</v>
      </c>
      <c r="G12" s="9">
        <v>404719.61599999998</v>
      </c>
      <c r="H12" s="9">
        <v>61954</v>
      </c>
      <c r="I12" s="9">
        <v>261763.226</v>
      </c>
      <c r="J12" s="9">
        <v>0</v>
      </c>
      <c r="K12" s="9">
        <v>0</v>
      </c>
      <c r="L12" s="9">
        <f t="shared" si="0"/>
        <v>182484</v>
      </c>
      <c r="M12" s="9">
        <f t="shared" si="1"/>
        <v>666482.84199999995</v>
      </c>
      <c r="N12" s="9">
        <v>4469710</v>
      </c>
      <c r="O12" s="9">
        <v>8706859.5263600014</v>
      </c>
      <c r="P12" s="9">
        <v>1798252</v>
      </c>
      <c r="Q12" s="9">
        <v>3115453.5729999999</v>
      </c>
      <c r="R12" s="9">
        <v>4508</v>
      </c>
      <c r="S12" s="9">
        <v>69887.182889999996</v>
      </c>
      <c r="T12" s="32">
        <f t="shared" si="2"/>
        <v>6272470</v>
      </c>
      <c r="U12" s="32">
        <f t="shared" si="3"/>
        <v>11892200.282250002</v>
      </c>
    </row>
    <row r="13" spans="1:21" x14ac:dyDescent="0.2">
      <c r="B13" s="6">
        <v>7</v>
      </c>
      <c r="C13" s="7" t="s">
        <v>15</v>
      </c>
      <c r="D13" s="8">
        <v>79323</v>
      </c>
      <c r="E13" s="8">
        <v>16291382</v>
      </c>
      <c r="F13" s="9">
        <v>65831</v>
      </c>
      <c r="G13" s="9">
        <v>168551.16047</v>
      </c>
      <c r="H13" s="9">
        <v>24453</v>
      </c>
      <c r="I13" s="9">
        <v>70853.27536</v>
      </c>
      <c r="J13" s="9">
        <v>0</v>
      </c>
      <c r="K13" s="9">
        <v>0</v>
      </c>
      <c r="L13" s="9">
        <f t="shared" si="0"/>
        <v>90284</v>
      </c>
      <c r="M13" s="9">
        <f t="shared" si="1"/>
        <v>239404.43583</v>
      </c>
      <c r="N13" s="9">
        <v>2995806</v>
      </c>
      <c r="O13" s="9">
        <v>5596584.7608199995</v>
      </c>
      <c r="P13" s="9">
        <v>842094</v>
      </c>
      <c r="Q13" s="9">
        <v>1561084.16007</v>
      </c>
      <c r="R13" s="9">
        <v>0</v>
      </c>
      <c r="S13" s="9">
        <v>0</v>
      </c>
      <c r="T13" s="32">
        <f t="shared" si="2"/>
        <v>3837900</v>
      </c>
      <c r="U13" s="32">
        <f t="shared" si="3"/>
        <v>7157668.9208899997</v>
      </c>
    </row>
    <row r="14" spans="1:21" x14ac:dyDescent="0.2">
      <c r="B14" s="6">
        <v>8</v>
      </c>
      <c r="C14" s="7" t="s">
        <v>16</v>
      </c>
      <c r="D14" s="8">
        <v>0</v>
      </c>
      <c r="E14" s="8">
        <v>3688282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f t="shared" si="0"/>
        <v>0</v>
      </c>
      <c r="M14" s="9">
        <f t="shared" si="1"/>
        <v>0</v>
      </c>
      <c r="N14" s="9">
        <v>594623</v>
      </c>
      <c r="O14" s="9">
        <v>1327269.3701299999</v>
      </c>
      <c r="P14" s="9">
        <v>117159</v>
      </c>
      <c r="Q14" s="9">
        <v>384077.76107999997</v>
      </c>
      <c r="R14" s="9">
        <v>0</v>
      </c>
      <c r="S14" s="9">
        <v>0</v>
      </c>
      <c r="T14" s="32">
        <f t="shared" si="2"/>
        <v>711782</v>
      </c>
      <c r="U14" s="32">
        <f t="shared" si="3"/>
        <v>1711347.1312099998</v>
      </c>
    </row>
    <row r="15" spans="1:21" x14ac:dyDescent="0.2">
      <c r="B15" s="6">
        <v>9</v>
      </c>
      <c r="C15" s="7" t="s">
        <v>17</v>
      </c>
      <c r="D15" s="8">
        <v>330596</v>
      </c>
      <c r="E15" s="8">
        <v>41106028</v>
      </c>
      <c r="F15" s="9">
        <v>441492</v>
      </c>
      <c r="G15" s="9">
        <v>1512838.9480000001</v>
      </c>
      <c r="H15" s="9">
        <v>182271</v>
      </c>
      <c r="I15" s="9">
        <v>699052.30458</v>
      </c>
      <c r="J15" s="9">
        <v>0</v>
      </c>
      <c r="K15" s="9">
        <v>0</v>
      </c>
      <c r="L15" s="9">
        <f t="shared" si="0"/>
        <v>623763</v>
      </c>
      <c r="M15" s="9">
        <f t="shared" si="1"/>
        <v>2211891.2525800001</v>
      </c>
      <c r="N15" s="9">
        <v>6195621</v>
      </c>
      <c r="O15" s="9">
        <v>13903229.0515</v>
      </c>
      <c r="P15" s="9">
        <v>2881319</v>
      </c>
      <c r="Q15" s="9">
        <v>5980761.4797700001</v>
      </c>
      <c r="R15" s="9">
        <v>0</v>
      </c>
      <c r="S15" s="9">
        <v>0</v>
      </c>
      <c r="T15" s="32">
        <f t="shared" si="2"/>
        <v>9076940</v>
      </c>
      <c r="U15" s="32">
        <f t="shared" si="3"/>
        <v>19883990.531270001</v>
      </c>
    </row>
    <row r="16" spans="1:21" x14ac:dyDescent="0.2">
      <c r="B16" s="6">
        <v>10</v>
      </c>
      <c r="C16" s="7" t="s">
        <v>18</v>
      </c>
      <c r="D16" s="8">
        <v>16505981</v>
      </c>
      <c r="E16" s="8">
        <v>273547554</v>
      </c>
      <c r="F16" s="9">
        <v>24634634</v>
      </c>
      <c r="G16" s="9">
        <v>75887454.475309998</v>
      </c>
      <c r="H16" s="9">
        <v>17811748</v>
      </c>
      <c r="I16" s="9">
        <v>144503601.97001001</v>
      </c>
      <c r="J16" s="9">
        <v>1678</v>
      </c>
      <c r="K16" s="9">
        <v>0</v>
      </c>
      <c r="L16" s="9">
        <f t="shared" si="0"/>
        <v>42448060</v>
      </c>
      <c r="M16" s="9">
        <f t="shared" si="1"/>
        <v>220391056.44532001</v>
      </c>
      <c r="N16" s="9">
        <v>46991238</v>
      </c>
      <c r="O16" s="9">
        <v>95370344.068619996</v>
      </c>
      <c r="P16" s="9">
        <v>18822889</v>
      </c>
      <c r="Q16" s="9">
        <v>35812055.383510001</v>
      </c>
      <c r="R16" s="9">
        <v>1678</v>
      </c>
      <c r="S16" s="9">
        <v>22508.29</v>
      </c>
      <c r="T16" s="32">
        <f t="shared" si="2"/>
        <v>65815805</v>
      </c>
      <c r="U16" s="32">
        <f t="shared" si="3"/>
        <v>131204907.74213</v>
      </c>
    </row>
    <row r="17" spans="2:21" x14ac:dyDescent="0.2">
      <c r="B17" s="6">
        <v>11</v>
      </c>
      <c r="C17" s="7" t="s">
        <v>19</v>
      </c>
      <c r="D17" s="8">
        <v>0</v>
      </c>
      <c r="E17" s="8">
        <v>12402099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f t="shared" si="0"/>
        <v>0</v>
      </c>
      <c r="M17" s="9">
        <f t="shared" si="1"/>
        <v>0</v>
      </c>
      <c r="N17" s="9">
        <v>1803263</v>
      </c>
      <c r="O17" s="9">
        <v>3420674.7671399997</v>
      </c>
      <c r="P17" s="9">
        <v>400451</v>
      </c>
      <c r="Q17" s="9">
        <v>980375.12800000003</v>
      </c>
      <c r="R17" s="9">
        <v>882</v>
      </c>
      <c r="S17" s="9">
        <v>14994.748</v>
      </c>
      <c r="T17" s="32">
        <f t="shared" si="2"/>
        <v>2204596</v>
      </c>
      <c r="U17" s="32">
        <f t="shared" si="3"/>
        <v>4416044.6431399994</v>
      </c>
    </row>
    <row r="18" spans="2:21" x14ac:dyDescent="0.2">
      <c r="B18" s="6">
        <v>12</v>
      </c>
      <c r="C18" s="7" t="s">
        <v>20</v>
      </c>
      <c r="D18" s="8">
        <v>633323</v>
      </c>
      <c r="E18" s="8">
        <v>47402239</v>
      </c>
      <c r="F18" s="9">
        <v>567176</v>
      </c>
      <c r="G18" s="9">
        <v>2005751.5025499999</v>
      </c>
      <c r="H18" s="9">
        <v>367453</v>
      </c>
      <c r="I18" s="9">
        <v>1432578.9707299999</v>
      </c>
      <c r="J18" s="9">
        <v>0</v>
      </c>
      <c r="K18" s="9">
        <v>0</v>
      </c>
      <c r="L18" s="9">
        <f t="shared" si="0"/>
        <v>934629</v>
      </c>
      <c r="M18" s="9">
        <f t="shared" si="1"/>
        <v>3438330.4732799996</v>
      </c>
      <c r="N18" s="9">
        <v>9090572</v>
      </c>
      <c r="O18" s="9">
        <v>13727443.007999999</v>
      </c>
      <c r="P18" s="9">
        <v>3910201</v>
      </c>
      <c r="Q18" s="9">
        <v>6601574.5530000003</v>
      </c>
      <c r="R18" s="9">
        <v>2684</v>
      </c>
      <c r="S18" s="9">
        <v>10086.052</v>
      </c>
      <c r="T18" s="32">
        <f t="shared" si="2"/>
        <v>13003457</v>
      </c>
      <c r="U18" s="32">
        <f t="shared" si="3"/>
        <v>20339103.612999998</v>
      </c>
    </row>
    <row r="19" spans="2:21" ht="12" x14ac:dyDescent="0.2">
      <c r="B19" s="2" t="s">
        <v>21</v>
      </c>
      <c r="C19" s="5"/>
      <c r="D19" s="3"/>
      <c r="E19" s="3"/>
      <c r="F19" s="4"/>
      <c r="G19" s="4"/>
      <c r="H19" s="4"/>
      <c r="I19" s="4"/>
      <c r="J19" s="4"/>
      <c r="K19" s="4"/>
      <c r="L19" s="9"/>
      <c r="M19" s="9"/>
      <c r="N19" s="9"/>
      <c r="O19" s="9"/>
      <c r="P19" s="9"/>
      <c r="Q19" s="9"/>
      <c r="R19" s="9"/>
      <c r="S19" s="9"/>
      <c r="T19" s="32"/>
      <c r="U19" s="32"/>
    </row>
    <row r="20" spans="2:21" x14ac:dyDescent="0.2">
      <c r="B20" s="6">
        <v>13</v>
      </c>
      <c r="C20" s="7" t="s">
        <v>22</v>
      </c>
      <c r="D20" s="8">
        <v>9785800</v>
      </c>
      <c r="E20" s="8">
        <v>29083053</v>
      </c>
      <c r="F20" s="9">
        <v>17664805</v>
      </c>
      <c r="G20" s="9">
        <v>55024117.672039993</v>
      </c>
      <c r="H20" s="9">
        <v>11624215</v>
      </c>
      <c r="I20" s="9">
        <v>51820168.968460001</v>
      </c>
      <c r="J20" s="9">
        <v>0</v>
      </c>
      <c r="K20" s="9">
        <v>0</v>
      </c>
      <c r="L20" s="9">
        <f t="shared" si="0"/>
        <v>29289020</v>
      </c>
      <c r="M20" s="9">
        <f t="shared" si="1"/>
        <v>106844286.64049999</v>
      </c>
      <c r="N20" s="9">
        <v>8195807</v>
      </c>
      <c r="O20" s="9">
        <v>19735718.236580003</v>
      </c>
      <c r="P20" s="9">
        <v>3515862</v>
      </c>
      <c r="Q20" s="9">
        <v>11771676.701020001</v>
      </c>
      <c r="R20" s="9">
        <v>17282</v>
      </c>
      <c r="S20" s="9">
        <v>439772.55504000001</v>
      </c>
      <c r="T20" s="32">
        <f t="shared" si="2"/>
        <v>11728951</v>
      </c>
      <c r="U20" s="32">
        <f t="shared" si="3"/>
        <v>31947167.492640004</v>
      </c>
    </row>
    <row r="21" spans="2:21" x14ac:dyDescent="0.2">
      <c r="B21" s="6">
        <v>14</v>
      </c>
      <c r="C21" s="7" t="s">
        <v>23</v>
      </c>
      <c r="D21" s="8">
        <v>0</v>
      </c>
      <c r="E21" s="8">
        <v>5372087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f t="shared" si="0"/>
        <v>0</v>
      </c>
      <c r="M21" s="9">
        <f t="shared" si="1"/>
        <v>0</v>
      </c>
      <c r="N21" s="9">
        <v>425516</v>
      </c>
      <c r="O21" s="9">
        <v>1090410.8765000002</v>
      </c>
      <c r="P21" s="9">
        <v>189067</v>
      </c>
      <c r="Q21" s="9">
        <v>585010.41239000019</v>
      </c>
      <c r="R21" s="9">
        <v>0</v>
      </c>
      <c r="S21" s="9">
        <v>0</v>
      </c>
      <c r="T21" s="32">
        <f t="shared" si="2"/>
        <v>614583</v>
      </c>
      <c r="U21" s="32">
        <f t="shared" si="3"/>
        <v>1675421.2888900004</v>
      </c>
    </row>
    <row r="22" spans="2:21" x14ac:dyDescent="0.2">
      <c r="B22" s="6">
        <v>15</v>
      </c>
      <c r="C22" s="7" t="s">
        <v>24</v>
      </c>
      <c r="D22" s="8">
        <v>4602</v>
      </c>
      <c r="E22" s="8">
        <v>2730473</v>
      </c>
      <c r="F22" s="9">
        <v>6679</v>
      </c>
      <c r="G22" s="9">
        <v>13485.777889999999</v>
      </c>
      <c r="H22" s="9">
        <v>2612</v>
      </c>
      <c r="I22" s="9">
        <v>10649.8927</v>
      </c>
      <c r="J22" s="9">
        <v>0</v>
      </c>
      <c r="K22" s="9">
        <v>0</v>
      </c>
      <c r="L22" s="9">
        <f t="shared" si="0"/>
        <v>9291</v>
      </c>
      <c r="M22" s="9">
        <f t="shared" si="1"/>
        <v>24135.670590000002</v>
      </c>
      <c r="N22" s="9">
        <v>687452</v>
      </c>
      <c r="O22" s="9">
        <v>1421277.4571099998</v>
      </c>
      <c r="P22" s="9">
        <v>112838</v>
      </c>
      <c r="Q22" s="9">
        <v>244400.77374999999</v>
      </c>
      <c r="R22" s="9">
        <v>0</v>
      </c>
      <c r="S22" s="9">
        <v>0</v>
      </c>
      <c r="T22" s="32">
        <f t="shared" si="2"/>
        <v>800290</v>
      </c>
      <c r="U22" s="32">
        <f t="shared" si="3"/>
        <v>1665678.2308599998</v>
      </c>
    </row>
    <row r="23" spans="2:21" x14ac:dyDescent="0.2">
      <c r="B23" s="6">
        <v>16</v>
      </c>
      <c r="C23" s="7" t="s">
        <v>25</v>
      </c>
      <c r="D23" s="8">
        <v>3421</v>
      </c>
      <c r="E23" s="8">
        <v>878379</v>
      </c>
      <c r="F23" s="9">
        <v>4999</v>
      </c>
      <c r="G23" s="9">
        <v>23368.67008</v>
      </c>
      <c r="H23" s="9">
        <v>3482</v>
      </c>
      <c r="I23" s="9">
        <v>45337.619570000003</v>
      </c>
      <c r="J23" s="9">
        <v>0</v>
      </c>
      <c r="K23" s="9">
        <v>0</v>
      </c>
      <c r="L23" s="9">
        <f t="shared" si="0"/>
        <v>8481</v>
      </c>
      <c r="M23" s="9">
        <f t="shared" si="1"/>
        <v>68706.289650000006</v>
      </c>
      <c r="N23" s="9">
        <v>217583</v>
      </c>
      <c r="O23" s="9">
        <v>380290.57723</v>
      </c>
      <c r="P23" s="9">
        <v>28039</v>
      </c>
      <c r="Q23" s="9">
        <v>64918.712530000004</v>
      </c>
      <c r="R23" s="9">
        <v>10</v>
      </c>
      <c r="S23" s="9">
        <v>93.2</v>
      </c>
      <c r="T23" s="32">
        <f t="shared" si="2"/>
        <v>245632</v>
      </c>
      <c r="U23" s="32">
        <f t="shared" si="3"/>
        <v>445302.48976000003</v>
      </c>
    </row>
    <row r="24" spans="2:21" x14ac:dyDescent="0.2">
      <c r="B24" s="6">
        <v>17</v>
      </c>
      <c r="C24" s="7" t="s">
        <v>26</v>
      </c>
      <c r="D24" s="8">
        <v>0</v>
      </c>
      <c r="E24" s="8">
        <v>944720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f t="shared" si="0"/>
        <v>0</v>
      </c>
      <c r="M24" s="9">
        <f t="shared" si="1"/>
        <v>0</v>
      </c>
      <c r="N24" s="9">
        <v>126264</v>
      </c>
      <c r="O24" s="9">
        <v>310304.64282000001</v>
      </c>
      <c r="P24" s="9">
        <v>27816</v>
      </c>
      <c r="Q24" s="9">
        <v>114646.05439999999</v>
      </c>
      <c r="R24" s="9">
        <v>356</v>
      </c>
      <c r="S24" s="9">
        <v>12502.31</v>
      </c>
      <c r="T24" s="32">
        <f t="shared" si="2"/>
        <v>154436</v>
      </c>
      <c r="U24" s="32">
        <f t="shared" si="3"/>
        <v>437453.00722000003</v>
      </c>
    </row>
    <row r="25" spans="2:21" x14ac:dyDescent="0.2">
      <c r="B25" s="6">
        <v>18</v>
      </c>
      <c r="C25" s="7" t="s">
        <v>27</v>
      </c>
      <c r="D25" s="8">
        <v>8973</v>
      </c>
      <c r="E25" s="8">
        <v>532329</v>
      </c>
      <c r="F25" s="9">
        <v>18879</v>
      </c>
      <c r="G25" s="9">
        <v>38873.814060000004</v>
      </c>
      <c r="H25" s="9">
        <v>5378</v>
      </c>
      <c r="I25" s="9">
        <v>18515.36004</v>
      </c>
      <c r="J25" s="9">
        <v>11</v>
      </c>
      <c r="K25" s="9">
        <v>29.955119999999997</v>
      </c>
      <c r="L25" s="9">
        <f t="shared" si="0"/>
        <v>24268</v>
      </c>
      <c r="M25" s="9">
        <f t="shared" si="1"/>
        <v>57419.129220000003</v>
      </c>
      <c r="N25" s="9">
        <v>224143</v>
      </c>
      <c r="O25" s="9">
        <v>360894.18087000004</v>
      </c>
      <c r="P25" s="9">
        <v>19871</v>
      </c>
      <c r="Q25" s="9">
        <v>50525.032480000002</v>
      </c>
      <c r="R25" s="9">
        <v>0</v>
      </c>
      <c r="S25" s="9">
        <v>0</v>
      </c>
      <c r="T25" s="32">
        <f t="shared" si="2"/>
        <v>244014</v>
      </c>
      <c r="U25" s="32">
        <f t="shared" si="3"/>
        <v>411419.21335000003</v>
      </c>
    </row>
    <row r="26" spans="2:21" x14ac:dyDescent="0.2">
      <c r="B26" s="6">
        <v>19</v>
      </c>
      <c r="C26" s="7" t="s">
        <v>28</v>
      </c>
      <c r="D26" s="8">
        <v>523742</v>
      </c>
      <c r="E26" s="8">
        <v>13154220</v>
      </c>
      <c r="F26" s="9">
        <v>1045804</v>
      </c>
      <c r="G26" s="9">
        <v>3137446.233</v>
      </c>
      <c r="H26" s="9">
        <v>963330</v>
      </c>
      <c r="I26" s="9">
        <v>5458839.1639999999</v>
      </c>
      <c r="J26" s="9">
        <v>0</v>
      </c>
      <c r="K26" s="9">
        <v>0</v>
      </c>
      <c r="L26" s="9">
        <f t="shared" si="0"/>
        <v>2009134</v>
      </c>
      <c r="M26" s="9">
        <f t="shared" si="1"/>
        <v>8596285.3969999999</v>
      </c>
      <c r="N26" s="9">
        <v>4425685</v>
      </c>
      <c r="O26" s="9">
        <v>7815451.0640000002</v>
      </c>
      <c r="P26" s="9">
        <v>1592458</v>
      </c>
      <c r="Q26" s="9">
        <v>3838091.7910000002</v>
      </c>
      <c r="R26" s="9">
        <v>2185</v>
      </c>
      <c r="S26" s="9">
        <v>26857.58754</v>
      </c>
      <c r="T26" s="32">
        <f t="shared" si="2"/>
        <v>6020328</v>
      </c>
      <c r="U26" s="32">
        <f t="shared" si="3"/>
        <v>11680400.442540001</v>
      </c>
    </row>
    <row r="27" spans="2:21" x14ac:dyDescent="0.2">
      <c r="B27" s="6">
        <v>20</v>
      </c>
      <c r="C27" s="7" t="s">
        <v>29</v>
      </c>
      <c r="D27" s="8">
        <v>17299140</v>
      </c>
      <c r="E27" s="8">
        <v>50793102</v>
      </c>
      <c r="F27" s="9">
        <v>29763846</v>
      </c>
      <c r="G27" s="9">
        <v>119374482.89495999</v>
      </c>
      <c r="H27" s="9">
        <v>26716589</v>
      </c>
      <c r="I27" s="9">
        <v>208793582.11544001</v>
      </c>
      <c r="J27" s="9">
        <v>0</v>
      </c>
      <c r="K27" s="9">
        <v>0</v>
      </c>
      <c r="L27" s="9">
        <f t="shared" si="0"/>
        <v>56480435</v>
      </c>
      <c r="M27" s="9">
        <f t="shared" si="1"/>
        <v>328168065.0104</v>
      </c>
      <c r="N27" s="9">
        <v>18447791</v>
      </c>
      <c r="O27" s="9">
        <v>47729776.964620002</v>
      </c>
      <c r="P27" s="9">
        <v>11999672</v>
      </c>
      <c r="Q27" s="9">
        <v>34774477.349460006</v>
      </c>
      <c r="R27" s="9">
        <v>92015</v>
      </c>
      <c r="S27" s="9">
        <v>1507304.3710000003</v>
      </c>
      <c r="T27" s="32">
        <f t="shared" si="2"/>
        <v>30539478</v>
      </c>
      <c r="U27" s="32">
        <f t="shared" si="3"/>
        <v>84011558.685080007</v>
      </c>
    </row>
    <row r="28" spans="2:21" x14ac:dyDescent="0.2">
      <c r="B28" s="6">
        <v>21</v>
      </c>
      <c r="C28" s="7" t="s">
        <v>30</v>
      </c>
      <c r="D28" s="8">
        <v>13738355</v>
      </c>
      <c r="E28" s="8">
        <v>32622979</v>
      </c>
      <c r="F28" s="9">
        <v>17457278</v>
      </c>
      <c r="G28" s="9">
        <v>60331002.678969666</v>
      </c>
      <c r="H28" s="9">
        <v>25009601</v>
      </c>
      <c r="I28" s="9">
        <v>138134685.06651101</v>
      </c>
      <c r="J28" s="9">
        <v>37</v>
      </c>
      <c r="K28" s="9">
        <v>2026.9639999999999</v>
      </c>
      <c r="L28" s="9">
        <f t="shared" si="0"/>
        <v>42466916</v>
      </c>
      <c r="M28" s="9">
        <f t="shared" si="1"/>
        <v>198467714.70948064</v>
      </c>
      <c r="N28" s="9">
        <v>11674761</v>
      </c>
      <c r="O28" s="9">
        <v>31223687.350190058</v>
      </c>
      <c r="P28" s="9">
        <v>4545644</v>
      </c>
      <c r="Q28" s="9">
        <v>17088640.888710093</v>
      </c>
      <c r="R28" s="9">
        <v>23477</v>
      </c>
      <c r="S28" s="9">
        <v>230517.2205</v>
      </c>
      <c r="T28" s="32">
        <f t="shared" si="2"/>
        <v>16243882</v>
      </c>
      <c r="U28" s="32">
        <f t="shared" si="3"/>
        <v>48542845.459400147</v>
      </c>
    </row>
    <row r="29" spans="2:21" x14ac:dyDescent="0.2">
      <c r="B29" s="6">
        <v>22</v>
      </c>
      <c r="C29" s="7" t="s">
        <v>31</v>
      </c>
      <c r="D29" s="8">
        <v>44360</v>
      </c>
      <c r="E29" s="8">
        <v>11433773</v>
      </c>
      <c r="F29" s="9">
        <v>64563</v>
      </c>
      <c r="G29" s="9">
        <v>199013.99871000001</v>
      </c>
      <c r="H29" s="9">
        <v>42034</v>
      </c>
      <c r="I29" s="9">
        <v>150325.18357000002</v>
      </c>
      <c r="J29" s="9">
        <v>0</v>
      </c>
      <c r="K29" s="9">
        <v>0</v>
      </c>
      <c r="L29" s="9">
        <f t="shared" si="0"/>
        <v>106597</v>
      </c>
      <c r="M29" s="9">
        <f t="shared" si="1"/>
        <v>349339.18228000007</v>
      </c>
      <c r="N29" s="9">
        <v>1919154</v>
      </c>
      <c r="O29" s="9">
        <v>3830175.8417200041</v>
      </c>
      <c r="P29" s="9">
        <v>388196</v>
      </c>
      <c r="Q29" s="9">
        <v>965059.27592999348</v>
      </c>
      <c r="R29" s="9">
        <v>0</v>
      </c>
      <c r="S29" s="9">
        <v>0</v>
      </c>
      <c r="T29" s="32">
        <f t="shared" si="2"/>
        <v>2307350</v>
      </c>
      <c r="U29" s="32">
        <f t="shared" si="3"/>
        <v>4795235.1176499976</v>
      </c>
    </row>
    <row r="30" spans="2:21" x14ac:dyDescent="0.2">
      <c r="B30" s="6">
        <v>23</v>
      </c>
      <c r="C30" s="7" t="s">
        <v>32</v>
      </c>
      <c r="D30" s="8">
        <v>1480696</v>
      </c>
      <c r="E30" s="8">
        <v>6110755</v>
      </c>
      <c r="F30" s="9">
        <v>1894721</v>
      </c>
      <c r="G30" s="9">
        <v>6371934.0644700099</v>
      </c>
      <c r="H30" s="9">
        <v>1564042</v>
      </c>
      <c r="I30" s="9">
        <v>10425484.20349</v>
      </c>
      <c r="J30" s="9">
        <v>0</v>
      </c>
      <c r="K30" s="9">
        <v>0</v>
      </c>
      <c r="L30" s="9">
        <f t="shared" si="0"/>
        <v>3458763</v>
      </c>
      <c r="M30" s="9">
        <f t="shared" si="1"/>
        <v>16797418.267960012</v>
      </c>
      <c r="N30" s="9">
        <v>1007431</v>
      </c>
      <c r="O30" s="9">
        <v>2123957.4244599999</v>
      </c>
      <c r="P30" s="9">
        <v>352394</v>
      </c>
      <c r="Q30" s="9">
        <v>1507503.0746500001</v>
      </c>
      <c r="R30" s="9">
        <v>0</v>
      </c>
      <c r="S30" s="9">
        <v>0</v>
      </c>
      <c r="T30" s="32">
        <f t="shared" si="2"/>
        <v>1359825</v>
      </c>
      <c r="U30" s="32">
        <f t="shared" si="3"/>
        <v>3631460.4991100002</v>
      </c>
    </row>
    <row r="31" spans="2:21" x14ac:dyDescent="0.2">
      <c r="B31" s="6">
        <v>24</v>
      </c>
      <c r="C31" s="7" t="s">
        <v>33</v>
      </c>
      <c r="D31" s="8">
        <v>2169062</v>
      </c>
      <c r="E31" s="8">
        <v>8266884</v>
      </c>
      <c r="F31" s="9">
        <v>3305967</v>
      </c>
      <c r="G31" s="9">
        <v>16389976.818</v>
      </c>
      <c r="H31" s="9">
        <v>2181512</v>
      </c>
      <c r="I31" s="9">
        <v>48113698.278999999</v>
      </c>
      <c r="J31" s="9">
        <v>0</v>
      </c>
      <c r="K31" s="9">
        <v>0</v>
      </c>
      <c r="L31" s="9">
        <f t="shared" si="0"/>
        <v>5487479</v>
      </c>
      <c r="M31" s="9">
        <f t="shared" si="1"/>
        <v>64503675.097000003</v>
      </c>
      <c r="N31" s="9">
        <v>1238518</v>
      </c>
      <c r="O31" s="9">
        <v>2854139.4670000002</v>
      </c>
      <c r="P31" s="9">
        <v>787832</v>
      </c>
      <c r="Q31" s="9">
        <v>2690790.7760000001</v>
      </c>
      <c r="R31" s="9">
        <v>926</v>
      </c>
      <c r="S31" s="9">
        <v>64887.015920000005</v>
      </c>
      <c r="T31" s="32">
        <f t="shared" si="2"/>
        <v>2027276</v>
      </c>
      <c r="U31" s="32">
        <f t="shared" si="3"/>
        <v>5609817.2589200009</v>
      </c>
    </row>
    <row r="32" spans="2:21" x14ac:dyDescent="0.2">
      <c r="B32" s="6">
        <v>25</v>
      </c>
      <c r="C32" s="7" t="s">
        <v>34</v>
      </c>
      <c r="D32" s="8">
        <v>83312</v>
      </c>
      <c r="E32" s="8">
        <v>3817331</v>
      </c>
      <c r="F32" s="9">
        <v>171584</v>
      </c>
      <c r="G32" s="9">
        <v>1130824.4512700001</v>
      </c>
      <c r="H32" s="9">
        <v>107018</v>
      </c>
      <c r="I32" s="9">
        <v>330443.47336</v>
      </c>
      <c r="J32" s="9">
        <v>0</v>
      </c>
      <c r="K32" s="9">
        <v>0</v>
      </c>
      <c r="L32" s="9">
        <f t="shared" si="0"/>
        <v>278602</v>
      </c>
      <c r="M32" s="9">
        <f t="shared" si="1"/>
        <v>1461267.92463</v>
      </c>
      <c r="N32" s="9">
        <v>1808876</v>
      </c>
      <c r="O32" s="9">
        <v>2913483.8155799997</v>
      </c>
      <c r="P32" s="9">
        <v>1914238</v>
      </c>
      <c r="Q32" s="9">
        <v>1059441.9315299999</v>
      </c>
      <c r="R32" s="9">
        <v>0</v>
      </c>
      <c r="S32" s="9">
        <v>0</v>
      </c>
      <c r="T32" s="32">
        <f t="shared" si="2"/>
        <v>3723114</v>
      </c>
      <c r="U32" s="32">
        <f t="shared" si="3"/>
        <v>3972925.7471099999</v>
      </c>
    </row>
    <row r="33" spans="2:21" x14ac:dyDescent="0.2">
      <c r="B33" s="6">
        <v>26</v>
      </c>
      <c r="C33" s="7" t="s">
        <v>35</v>
      </c>
      <c r="D33" s="8">
        <v>0</v>
      </c>
      <c r="E33" s="8">
        <v>5189151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f t="shared" si="0"/>
        <v>0</v>
      </c>
      <c r="M33" s="9">
        <f t="shared" si="1"/>
        <v>0</v>
      </c>
      <c r="N33" s="9">
        <v>1398125</v>
      </c>
      <c r="O33" s="9">
        <v>2154753.2974500004</v>
      </c>
      <c r="P33" s="9">
        <v>178864</v>
      </c>
      <c r="Q33" s="9">
        <v>393686.7157</v>
      </c>
      <c r="R33" s="9">
        <v>0</v>
      </c>
      <c r="S33" s="9">
        <v>0</v>
      </c>
      <c r="T33" s="32">
        <f t="shared" si="2"/>
        <v>1576989</v>
      </c>
      <c r="U33" s="32">
        <f t="shared" si="3"/>
        <v>2548440.0131500005</v>
      </c>
    </row>
    <row r="34" spans="2:21" x14ac:dyDescent="0.2">
      <c r="B34" s="6">
        <v>27</v>
      </c>
      <c r="C34" s="7" t="s">
        <v>36</v>
      </c>
      <c r="D34" s="8">
        <v>10453</v>
      </c>
      <c r="E34" s="8">
        <v>4247580</v>
      </c>
      <c r="F34" s="9">
        <v>27488</v>
      </c>
      <c r="G34" s="9">
        <v>179959.32554999879</v>
      </c>
      <c r="H34" s="9">
        <v>8743</v>
      </c>
      <c r="I34" s="9">
        <v>95219.712420000084</v>
      </c>
      <c r="J34" s="9">
        <v>0</v>
      </c>
      <c r="K34" s="9">
        <v>0</v>
      </c>
      <c r="L34" s="9">
        <f t="shared" si="0"/>
        <v>36231</v>
      </c>
      <c r="M34" s="9">
        <f t="shared" si="1"/>
        <v>275179.0379699989</v>
      </c>
      <c r="N34" s="9">
        <v>1512239</v>
      </c>
      <c r="O34" s="9">
        <v>3278032.2323800018</v>
      </c>
      <c r="P34" s="9">
        <v>273527</v>
      </c>
      <c r="Q34" s="9">
        <v>836385.68997000006</v>
      </c>
      <c r="R34" s="9">
        <v>8877</v>
      </c>
      <c r="S34" s="9">
        <v>190999.38376000003</v>
      </c>
      <c r="T34" s="32">
        <f t="shared" si="2"/>
        <v>1794643</v>
      </c>
      <c r="U34" s="32">
        <f t="shared" si="3"/>
        <v>4305417.3061100021</v>
      </c>
    </row>
    <row r="35" spans="2:21" x14ac:dyDescent="0.2">
      <c r="B35" s="6">
        <v>28</v>
      </c>
      <c r="C35" s="7" t="s">
        <v>37</v>
      </c>
      <c r="D35" s="8">
        <v>4885328</v>
      </c>
      <c r="E35" s="8">
        <v>28037247</v>
      </c>
      <c r="F35" s="9">
        <v>4888809</v>
      </c>
      <c r="G35" s="9">
        <v>17776475.076190002</v>
      </c>
      <c r="H35" s="9">
        <v>3887077</v>
      </c>
      <c r="I35" s="9">
        <v>24800408.68152</v>
      </c>
      <c r="J35" s="9">
        <v>0</v>
      </c>
      <c r="K35" s="9">
        <v>0</v>
      </c>
      <c r="L35" s="9">
        <f t="shared" si="0"/>
        <v>8775886</v>
      </c>
      <c r="M35" s="9">
        <f t="shared" si="1"/>
        <v>42576883.757710002</v>
      </c>
      <c r="N35" s="9">
        <v>3782680</v>
      </c>
      <c r="O35" s="9">
        <v>7164917.110559999</v>
      </c>
      <c r="P35" s="9">
        <v>2670686</v>
      </c>
      <c r="Q35" s="9">
        <v>6015969.4793199999</v>
      </c>
      <c r="R35" s="9">
        <v>0</v>
      </c>
      <c r="S35" s="9">
        <v>0</v>
      </c>
      <c r="T35" s="32">
        <f t="shared" si="2"/>
        <v>6453366</v>
      </c>
      <c r="U35" s="32">
        <f t="shared" si="3"/>
        <v>13180886.589879999</v>
      </c>
    </row>
    <row r="36" spans="2:21" x14ac:dyDescent="0.2">
      <c r="B36" s="6">
        <v>29</v>
      </c>
      <c r="C36" s="7" t="s">
        <v>38</v>
      </c>
      <c r="D36" s="8">
        <v>0</v>
      </c>
      <c r="E36" s="8">
        <v>203344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f t="shared" si="0"/>
        <v>0</v>
      </c>
      <c r="M36" s="9">
        <f t="shared" si="1"/>
        <v>0</v>
      </c>
      <c r="N36" s="9">
        <v>25514</v>
      </c>
      <c r="O36" s="9">
        <v>46314.973520000007</v>
      </c>
      <c r="P36" s="9">
        <v>13789</v>
      </c>
      <c r="Q36" s="9">
        <v>30799.087030000002</v>
      </c>
      <c r="R36" s="9">
        <v>0</v>
      </c>
      <c r="S36" s="9">
        <v>0</v>
      </c>
      <c r="T36" s="32">
        <f t="shared" si="2"/>
        <v>39303</v>
      </c>
      <c r="U36" s="32">
        <f t="shared" si="3"/>
        <v>77114.060550000009</v>
      </c>
    </row>
    <row r="37" spans="2:21" x14ac:dyDescent="0.2">
      <c r="B37" s="6">
        <v>30</v>
      </c>
      <c r="C37" s="7" t="s">
        <v>39</v>
      </c>
      <c r="D37" s="8">
        <v>4364662</v>
      </c>
      <c r="E37" s="8">
        <v>1581303</v>
      </c>
      <c r="F37" s="9">
        <v>6479739</v>
      </c>
      <c r="G37" s="9">
        <v>28447800.14796</v>
      </c>
      <c r="H37" s="9">
        <v>2959194</v>
      </c>
      <c r="I37" s="9">
        <v>23010713.574960001</v>
      </c>
      <c r="J37" s="9">
        <v>0</v>
      </c>
      <c r="K37" s="9">
        <v>0</v>
      </c>
      <c r="L37" s="9">
        <f t="shared" si="0"/>
        <v>9438933</v>
      </c>
      <c r="M37" s="9">
        <f t="shared" si="1"/>
        <v>51458513.722920001</v>
      </c>
      <c r="N37" s="9">
        <v>239053</v>
      </c>
      <c r="O37" s="9">
        <v>529623.94180999906</v>
      </c>
      <c r="P37" s="9">
        <v>100379</v>
      </c>
      <c r="Q37" s="9">
        <v>449691.05047999707</v>
      </c>
      <c r="R37" s="9">
        <v>93</v>
      </c>
      <c r="S37" s="9">
        <v>4378.4189999999999</v>
      </c>
      <c r="T37" s="32">
        <f t="shared" si="2"/>
        <v>339525</v>
      </c>
      <c r="U37" s="32">
        <f t="shared" si="3"/>
        <v>983693.41128999612</v>
      </c>
    </row>
    <row r="38" spans="2:21" x14ac:dyDescent="0.2">
      <c r="B38" s="6">
        <v>31</v>
      </c>
      <c r="C38" s="7" t="s">
        <v>40</v>
      </c>
      <c r="D38" s="8">
        <v>198707</v>
      </c>
      <c r="E38" s="8">
        <v>3647979</v>
      </c>
      <c r="F38" s="9">
        <v>461710</v>
      </c>
      <c r="G38" s="9">
        <v>1442855.9394</v>
      </c>
      <c r="H38" s="9">
        <v>385762</v>
      </c>
      <c r="I38" s="9">
        <v>2674051.4977299999</v>
      </c>
      <c r="J38" s="9">
        <v>0</v>
      </c>
      <c r="K38" s="9">
        <v>0</v>
      </c>
      <c r="L38" s="9">
        <f t="shared" si="0"/>
        <v>847472</v>
      </c>
      <c r="M38" s="9">
        <f t="shared" si="1"/>
        <v>4116907.43713</v>
      </c>
      <c r="N38" s="9">
        <v>1532878</v>
      </c>
      <c r="O38" s="9">
        <v>2808756.1702400004</v>
      </c>
      <c r="P38" s="9">
        <v>255717</v>
      </c>
      <c r="Q38" s="9">
        <v>795072.99236999999</v>
      </c>
      <c r="R38" s="9">
        <v>0</v>
      </c>
      <c r="S38" s="9">
        <v>0</v>
      </c>
      <c r="T38" s="32">
        <f t="shared" si="2"/>
        <v>1788595</v>
      </c>
      <c r="U38" s="32">
        <f t="shared" si="3"/>
        <v>3603829.1626100005</v>
      </c>
    </row>
    <row r="39" spans="2:21" x14ac:dyDescent="0.2">
      <c r="B39" s="6">
        <v>32</v>
      </c>
      <c r="C39" s="7" t="s">
        <v>41</v>
      </c>
      <c r="D39" s="8">
        <v>40979</v>
      </c>
      <c r="E39" s="8">
        <v>2173879</v>
      </c>
      <c r="F39" s="9">
        <v>43145</v>
      </c>
      <c r="G39" s="9">
        <v>194749.5889</v>
      </c>
      <c r="H39" s="9">
        <v>18294</v>
      </c>
      <c r="I39" s="9">
        <v>103463.30677</v>
      </c>
      <c r="J39" s="9">
        <v>0</v>
      </c>
      <c r="K39" s="9">
        <v>0</v>
      </c>
      <c r="L39" s="9">
        <f t="shared" si="0"/>
        <v>61439</v>
      </c>
      <c r="M39" s="9">
        <f t="shared" si="1"/>
        <v>298212.89567</v>
      </c>
      <c r="N39" s="9">
        <v>397251</v>
      </c>
      <c r="O39" s="9">
        <v>870472.1632999999</v>
      </c>
      <c r="P39" s="9">
        <v>83965</v>
      </c>
      <c r="Q39" s="9">
        <v>175747.35844000001</v>
      </c>
      <c r="R39" s="9">
        <v>99</v>
      </c>
      <c r="S39" s="9">
        <v>292.34500000000003</v>
      </c>
      <c r="T39" s="32">
        <f t="shared" si="2"/>
        <v>481315</v>
      </c>
      <c r="U39" s="32">
        <f t="shared" si="3"/>
        <v>1046511.86674</v>
      </c>
    </row>
    <row r="40" spans="2:21" x14ac:dyDescent="0.2">
      <c r="B40" s="6">
        <v>33</v>
      </c>
      <c r="C40" s="7" t="s">
        <v>42</v>
      </c>
      <c r="D40" s="8">
        <v>1395685</v>
      </c>
      <c r="E40" s="8">
        <v>4339149</v>
      </c>
      <c r="F40" s="9">
        <v>1965411</v>
      </c>
      <c r="G40" s="9">
        <v>6898875.3516099993</v>
      </c>
      <c r="H40" s="9">
        <v>854364</v>
      </c>
      <c r="I40" s="9">
        <v>7343481.9840099998</v>
      </c>
      <c r="J40" s="9">
        <v>0</v>
      </c>
      <c r="K40" s="9">
        <v>0</v>
      </c>
      <c r="L40" s="9">
        <f t="shared" si="0"/>
        <v>2819775</v>
      </c>
      <c r="M40" s="9">
        <f t="shared" si="1"/>
        <v>14242357.335619999</v>
      </c>
      <c r="N40" s="9">
        <v>969888</v>
      </c>
      <c r="O40" s="9">
        <v>2067286.7671899952</v>
      </c>
      <c r="P40" s="9">
        <v>411557</v>
      </c>
      <c r="Q40" s="9">
        <v>1242727.7822799771</v>
      </c>
      <c r="R40" s="9">
        <v>58</v>
      </c>
      <c r="S40" s="9">
        <v>1120.576</v>
      </c>
      <c r="T40" s="32">
        <f t="shared" si="2"/>
        <v>1381503</v>
      </c>
      <c r="U40" s="32">
        <f t="shared" si="3"/>
        <v>3311135.1254699724</v>
      </c>
    </row>
    <row r="41" spans="2:21" ht="12" x14ac:dyDescent="0.2">
      <c r="B41" s="2" t="s">
        <v>43</v>
      </c>
      <c r="C41" s="5"/>
      <c r="D41" s="3"/>
      <c r="E41" s="3"/>
      <c r="F41" s="4"/>
      <c r="G41" s="4"/>
      <c r="H41" s="4"/>
      <c r="I41" s="4"/>
      <c r="J41" s="4"/>
      <c r="K41" s="4"/>
      <c r="L41" s="9"/>
      <c r="M41" s="9"/>
      <c r="N41" s="9"/>
      <c r="O41" s="9"/>
      <c r="P41" s="9"/>
      <c r="Q41" s="9"/>
      <c r="R41" s="9"/>
      <c r="S41" s="9"/>
      <c r="T41" s="32"/>
      <c r="U41" s="32"/>
    </row>
    <row r="42" spans="2:21" x14ac:dyDescent="0.2">
      <c r="B42" s="6">
        <v>34</v>
      </c>
      <c r="C42" s="7" t="s">
        <v>44</v>
      </c>
      <c r="D42" s="8">
        <v>1334755</v>
      </c>
      <c r="E42" s="8">
        <v>0</v>
      </c>
      <c r="F42" s="9">
        <v>981935</v>
      </c>
      <c r="G42" s="9">
        <v>7392595.9790000003</v>
      </c>
      <c r="H42" s="9">
        <v>3024791</v>
      </c>
      <c r="I42" s="9">
        <v>24941714.635000002</v>
      </c>
      <c r="J42" s="9">
        <v>0</v>
      </c>
      <c r="K42" s="9">
        <v>0</v>
      </c>
      <c r="L42" s="9">
        <f t="shared" si="0"/>
        <v>4006726</v>
      </c>
      <c r="M42" s="9">
        <f t="shared" si="1"/>
        <v>32334310.614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32">
        <f t="shared" si="2"/>
        <v>0</v>
      </c>
      <c r="U42" s="32">
        <f t="shared" si="3"/>
        <v>0</v>
      </c>
    </row>
    <row r="43" spans="2:21" x14ac:dyDescent="0.2">
      <c r="B43" s="6">
        <v>35</v>
      </c>
      <c r="C43" s="7" t="s">
        <v>45</v>
      </c>
      <c r="D43" s="8">
        <v>0</v>
      </c>
      <c r="E43" s="8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f t="shared" si="0"/>
        <v>0</v>
      </c>
      <c r="M43" s="9">
        <f t="shared" si="1"/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32">
        <f t="shared" si="2"/>
        <v>0</v>
      </c>
      <c r="U43" s="32">
        <f t="shared" si="3"/>
        <v>0</v>
      </c>
    </row>
    <row r="44" spans="2:21" x14ac:dyDescent="0.2">
      <c r="B44" s="6">
        <v>36</v>
      </c>
      <c r="C44" s="7" t="s">
        <v>46</v>
      </c>
      <c r="D44" s="8">
        <v>0</v>
      </c>
      <c r="E44" s="8">
        <v>889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f t="shared" si="0"/>
        <v>0</v>
      </c>
      <c r="M44" s="9">
        <f t="shared" si="1"/>
        <v>0</v>
      </c>
      <c r="N44" s="9">
        <v>9</v>
      </c>
      <c r="O44" s="9">
        <v>79.060199999999995</v>
      </c>
      <c r="P44" s="9">
        <v>2</v>
      </c>
      <c r="Q44" s="9">
        <v>0.68700000000000006</v>
      </c>
      <c r="R44" s="9">
        <v>0</v>
      </c>
      <c r="S44" s="9">
        <v>0</v>
      </c>
      <c r="T44" s="32">
        <f t="shared" si="2"/>
        <v>11</v>
      </c>
      <c r="U44" s="32">
        <f t="shared" si="3"/>
        <v>79.747199999999992</v>
      </c>
    </row>
    <row r="45" spans="2:21" x14ac:dyDescent="0.2">
      <c r="B45" s="6">
        <v>37</v>
      </c>
      <c r="C45" s="7" t="s">
        <v>47</v>
      </c>
      <c r="D45" s="8">
        <v>2217801</v>
      </c>
      <c r="E45" s="8">
        <v>981783</v>
      </c>
      <c r="F45" s="9">
        <v>7340481</v>
      </c>
      <c r="G45" s="9">
        <v>20507637.166489996</v>
      </c>
      <c r="H45" s="9">
        <v>2571051</v>
      </c>
      <c r="I45" s="9">
        <v>16237067.224319933</v>
      </c>
      <c r="J45" s="9">
        <v>0</v>
      </c>
      <c r="K45" s="9">
        <v>0</v>
      </c>
      <c r="L45" s="9">
        <f t="shared" si="0"/>
        <v>9911532</v>
      </c>
      <c r="M45" s="9">
        <f t="shared" si="1"/>
        <v>36744704.390809931</v>
      </c>
      <c r="N45" s="9">
        <v>607147</v>
      </c>
      <c r="O45" s="9">
        <v>1640706.9225800002</v>
      </c>
      <c r="P45" s="9">
        <v>673332</v>
      </c>
      <c r="Q45" s="9">
        <v>2175877.3911699997</v>
      </c>
      <c r="R45" s="9">
        <v>0</v>
      </c>
      <c r="S45" s="9">
        <v>0</v>
      </c>
      <c r="T45" s="32">
        <f t="shared" si="2"/>
        <v>1280479</v>
      </c>
      <c r="U45" s="32">
        <f t="shared" si="3"/>
        <v>3816584.3137499997</v>
      </c>
    </row>
    <row r="46" spans="2:21" x14ac:dyDescent="0.2">
      <c r="B46" s="6">
        <v>38</v>
      </c>
      <c r="C46" s="7" t="s">
        <v>48</v>
      </c>
      <c r="D46" s="8">
        <v>196282</v>
      </c>
      <c r="E46" s="8">
        <v>1854342</v>
      </c>
      <c r="F46" s="9">
        <v>191748</v>
      </c>
      <c r="G46" s="9">
        <v>726665.43777993612</v>
      </c>
      <c r="H46" s="9">
        <v>115783</v>
      </c>
      <c r="I46" s="9">
        <v>1018830.170750033</v>
      </c>
      <c r="J46" s="9">
        <v>0</v>
      </c>
      <c r="K46" s="9">
        <v>0</v>
      </c>
      <c r="L46" s="9">
        <f t="shared" si="0"/>
        <v>307531</v>
      </c>
      <c r="M46" s="9">
        <f t="shared" si="1"/>
        <v>1745495.6085299691</v>
      </c>
      <c r="N46" s="9">
        <v>422444</v>
      </c>
      <c r="O46" s="9">
        <v>716075.36145000008</v>
      </c>
      <c r="P46" s="9">
        <v>127027</v>
      </c>
      <c r="Q46" s="9">
        <v>281530.10334999999</v>
      </c>
      <c r="R46" s="9">
        <v>0</v>
      </c>
      <c r="S46" s="9">
        <v>0</v>
      </c>
      <c r="T46" s="32">
        <f t="shared" si="2"/>
        <v>549471</v>
      </c>
      <c r="U46" s="32">
        <f t="shared" si="3"/>
        <v>997605.46480000007</v>
      </c>
    </row>
    <row r="47" spans="2:21" x14ac:dyDescent="0.2">
      <c r="B47" s="6">
        <v>39</v>
      </c>
      <c r="C47" s="7" t="s">
        <v>49</v>
      </c>
      <c r="D47" s="8">
        <v>0</v>
      </c>
      <c r="E47" s="8">
        <v>117661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f t="shared" si="0"/>
        <v>0</v>
      </c>
      <c r="M47" s="9">
        <f t="shared" si="1"/>
        <v>0</v>
      </c>
      <c r="N47" s="9">
        <v>42892</v>
      </c>
      <c r="O47" s="9">
        <v>113805.35538999997</v>
      </c>
      <c r="P47" s="9">
        <v>20841</v>
      </c>
      <c r="Q47" s="9">
        <v>59827.404520000222</v>
      </c>
      <c r="R47" s="9">
        <v>0</v>
      </c>
      <c r="S47" s="9">
        <v>0</v>
      </c>
      <c r="T47" s="32">
        <f t="shared" si="2"/>
        <v>63733</v>
      </c>
      <c r="U47" s="32">
        <f t="shared" si="3"/>
        <v>173632.7599100002</v>
      </c>
    </row>
    <row r="48" spans="2:21" x14ac:dyDescent="0.2">
      <c r="B48" s="6">
        <v>40</v>
      </c>
      <c r="C48" s="7" t="s">
        <v>50</v>
      </c>
      <c r="D48" s="8">
        <v>691183</v>
      </c>
      <c r="E48" s="8">
        <v>572083</v>
      </c>
      <c r="F48" s="9">
        <v>663096</v>
      </c>
      <c r="G48" s="9">
        <v>2228582.0051096887</v>
      </c>
      <c r="H48" s="9">
        <v>952704</v>
      </c>
      <c r="I48" s="9">
        <v>4310121.3778404482</v>
      </c>
      <c r="J48" s="9">
        <v>0</v>
      </c>
      <c r="K48" s="9">
        <v>0</v>
      </c>
      <c r="L48" s="9">
        <f t="shared" si="0"/>
        <v>1615800</v>
      </c>
      <c r="M48" s="9">
        <f t="shared" si="1"/>
        <v>6538703.3829501364</v>
      </c>
      <c r="N48" s="9">
        <v>291532</v>
      </c>
      <c r="O48" s="9">
        <v>899481.80267999717</v>
      </c>
      <c r="P48" s="9">
        <v>0</v>
      </c>
      <c r="Q48" s="9">
        <v>0</v>
      </c>
      <c r="R48" s="9">
        <v>0</v>
      </c>
      <c r="S48" s="9">
        <v>0</v>
      </c>
      <c r="T48" s="32">
        <f t="shared" si="2"/>
        <v>291532</v>
      </c>
      <c r="U48" s="32">
        <f t="shared" si="3"/>
        <v>899481.80267999717</v>
      </c>
    </row>
    <row r="49" spans="1:21" x14ac:dyDescent="0.2">
      <c r="A49" s="12" t="s">
        <v>51</v>
      </c>
      <c r="B49" s="6">
        <v>41</v>
      </c>
      <c r="C49" s="21" t="s">
        <v>52</v>
      </c>
      <c r="D49" s="8">
        <v>1032427</v>
      </c>
      <c r="E49" s="8">
        <v>568106</v>
      </c>
      <c r="F49" s="9">
        <v>471457</v>
      </c>
      <c r="G49" s="9">
        <v>1870988.7665399939</v>
      </c>
      <c r="H49" s="9">
        <v>1101696</v>
      </c>
      <c r="I49" s="9">
        <v>4108542.6922999835</v>
      </c>
      <c r="J49" s="9">
        <v>0</v>
      </c>
      <c r="K49" s="9">
        <v>0</v>
      </c>
      <c r="L49" s="9">
        <f t="shared" si="0"/>
        <v>1573153</v>
      </c>
      <c r="M49" s="9">
        <f t="shared" si="1"/>
        <v>5979531.4588399772</v>
      </c>
      <c r="N49" s="9">
        <v>40720</v>
      </c>
      <c r="O49" s="9">
        <v>62774.792639999985</v>
      </c>
      <c r="P49" s="9">
        <v>26276</v>
      </c>
      <c r="Q49" s="9">
        <v>77793.524819999991</v>
      </c>
      <c r="R49" s="9">
        <v>0</v>
      </c>
      <c r="S49" s="9">
        <v>0</v>
      </c>
      <c r="T49" s="32">
        <f t="shared" si="2"/>
        <v>66996</v>
      </c>
      <c r="U49" s="32">
        <f t="shared" si="3"/>
        <v>140568.31745999999</v>
      </c>
    </row>
    <row r="50" spans="1:21" x14ac:dyDescent="0.2">
      <c r="B50" s="6">
        <v>42</v>
      </c>
      <c r="C50" s="5" t="s">
        <v>53</v>
      </c>
      <c r="D50" s="8">
        <v>1067422</v>
      </c>
      <c r="E50" s="8">
        <v>1157081</v>
      </c>
      <c r="F50" s="9">
        <v>1310459</v>
      </c>
      <c r="G50" s="9">
        <v>4106872.1454592478</v>
      </c>
      <c r="H50" s="9">
        <v>1246066</v>
      </c>
      <c r="I50" s="9">
        <v>5899690.285821381</v>
      </c>
      <c r="J50" s="9">
        <v>0</v>
      </c>
      <c r="K50" s="9">
        <v>0</v>
      </c>
      <c r="L50" s="9">
        <f t="shared" si="0"/>
        <v>2556525</v>
      </c>
      <c r="M50" s="9">
        <f t="shared" si="1"/>
        <v>10006562.431280628</v>
      </c>
      <c r="N50" s="9">
        <v>844052</v>
      </c>
      <c r="O50" s="9">
        <v>1821843.1457099966</v>
      </c>
      <c r="P50" s="9">
        <v>109663</v>
      </c>
      <c r="Q50" s="9">
        <v>533172.14964999957</v>
      </c>
      <c r="R50" s="9">
        <v>40</v>
      </c>
      <c r="S50" s="9">
        <v>738.87099999999998</v>
      </c>
      <c r="T50" s="32">
        <f t="shared" si="2"/>
        <v>953755</v>
      </c>
      <c r="U50" s="32">
        <f t="shared" si="3"/>
        <v>2355754.1663599964</v>
      </c>
    </row>
    <row r="51" spans="1:21" x14ac:dyDescent="0.2">
      <c r="B51" s="6">
        <v>43</v>
      </c>
      <c r="C51" s="5" t="s">
        <v>54</v>
      </c>
      <c r="D51" s="8">
        <v>0</v>
      </c>
      <c r="E51" s="8">
        <v>960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f t="shared" si="0"/>
        <v>0</v>
      </c>
      <c r="M51" s="9">
        <f t="shared" si="1"/>
        <v>0</v>
      </c>
      <c r="N51" s="9">
        <v>4076</v>
      </c>
      <c r="O51" s="9">
        <v>12745.41972</v>
      </c>
      <c r="P51" s="9">
        <v>1421</v>
      </c>
      <c r="Q51" s="9">
        <v>4028.3848900000003</v>
      </c>
      <c r="R51" s="9">
        <v>0</v>
      </c>
      <c r="S51" s="9">
        <v>0</v>
      </c>
      <c r="T51" s="32">
        <f t="shared" si="2"/>
        <v>5497</v>
      </c>
      <c r="U51" s="32">
        <f t="shared" si="3"/>
        <v>16773.804609999999</v>
      </c>
    </row>
    <row r="52" spans="1:21" s="18" customFormat="1" ht="12" x14ac:dyDescent="0.25">
      <c r="A52" s="17"/>
      <c r="B52" s="24" t="s">
        <v>55</v>
      </c>
      <c r="C52" s="25"/>
      <c r="D52" s="14">
        <f>SUM(D7:D51)</f>
        <v>82908328</v>
      </c>
      <c r="E52" s="14">
        <f>SUM(E7:E51)</f>
        <v>866862721</v>
      </c>
      <c r="F52" s="14">
        <f>SUM(F7:F51)</f>
        <v>124999164</v>
      </c>
      <c r="G52" s="14">
        <f>SUM(G7:G51)</f>
        <v>442730840.68862855</v>
      </c>
      <c r="H52" s="14">
        <f>SUM(H7:H51)</f>
        <v>106011221</v>
      </c>
      <c r="I52" s="14">
        <f>SUM(I7:I51)</f>
        <v>736092926.49437273</v>
      </c>
      <c r="J52" s="14">
        <f>SUM(J7:J51)</f>
        <v>1726</v>
      </c>
      <c r="K52" s="14">
        <f>SUM(K7:K51)</f>
        <v>2056.91912</v>
      </c>
      <c r="L52" s="31">
        <f t="shared" ref="L52:M52" si="4">J52+H52+F52</f>
        <v>231012111</v>
      </c>
      <c r="M52" s="31">
        <f t="shared" si="4"/>
        <v>1178825824.1021214</v>
      </c>
      <c r="N52" s="14">
        <f>SUM(N7:N51)</f>
        <v>156406774</v>
      </c>
      <c r="O52" s="14">
        <f>SUM(O7:O51)</f>
        <v>331312731.44424003</v>
      </c>
      <c r="P52" s="14">
        <f>SUM(P7:P51)</f>
        <v>65747471</v>
      </c>
      <c r="Q52" s="14">
        <f>SUM(Q7:Q51)</f>
        <v>156250501.54779983</v>
      </c>
      <c r="R52" s="14">
        <f>SUM(R7:R51)</f>
        <v>167867</v>
      </c>
      <c r="S52" s="14">
        <f>SUM(S7:S51)</f>
        <v>2763938.0297500002</v>
      </c>
      <c r="T52" s="33">
        <f t="shared" ref="T52:U52" si="5">R52+P52+N52</f>
        <v>222322112</v>
      </c>
      <c r="U52" s="33">
        <f t="shared" si="5"/>
        <v>490327171.02178985</v>
      </c>
    </row>
    <row r="53" spans="1:21" s="18" customFormat="1" ht="12" x14ac:dyDescent="0.25">
      <c r="A53" s="17"/>
      <c r="B53" s="19"/>
      <c r="C53" s="20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</row>
  </sheetData>
  <mergeCells count="18">
    <mergeCell ref="F2:M2"/>
    <mergeCell ref="F3:M3"/>
    <mergeCell ref="N2:U2"/>
    <mergeCell ref="N3:U3"/>
    <mergeCell ref="T4:U4"/>
    <mergeCell ref="B52:C52"/>
    <mergeCell ref="E3:E5"/>
    <mergeCell ref="F4:G4"/>
    <mergeCell ref="H4:I4"/>
    <mergeCell ref="J4:K4"/>
    <mergeCell ref="L4:M4"/>
    <mergeCell ref="N4:O4"/>
    <mergeCell ref="P4:Q4"/>
    <mergeCell ref="R4:S4"/>
    <mergeCell ref="B2:B5"/>
    <mergeCell ref="C2:C5"/>
    <mergeCell ref="D2:E2"/>
    <mergeCell ref="D3:D5"/>
  </mergeCells>
  <pageMargins left="3.937007874015748E-2" right="3.937007874015748E-2" top="0.04" bottom="7.874015748031496E-2" header="3.937007874015748E-2" footer="3.937007874015748E-2"/>
  <pageSetup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February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Anand Vighne</dc:creator>
  <cp:lastModifiedBy>Manas</cp:lastModifiedBy>
  <cp:lastPrinted>2023-05-18T14:40:39Z</cp:lastPrinted>
  <dcterms:created xsi:type="dcterms:W3CDTF">2023-03-16T09:50:46Z</dcterms:created>
  <dcterms:modified xsi:type="dcterms:W3CDTF">2023-07-18T15:17:09Z</dcterms:modified>
</cp:coreProperties>
</file>