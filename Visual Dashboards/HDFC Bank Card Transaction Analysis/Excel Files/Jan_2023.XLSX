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59C6D786-750A-4A4A-BB9D-FDB081A050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vised January-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U6" i="1"/>
  <c r="T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M6" i="1"/>
  <c r="L6" i="1"/>
  <c r="S51" i="1" l="1"/>
  <c r="R51" i="1"/>
  <c r="Q51" i="1"/>
  <c r="P51" i="1"/>
  <c r="O51" i="1"/>
  <c r="N51" i="1"/>
  <c r="K51" i="1"/>
  <c r="J51" i="1"/>
  <c r="I51" i="1"/>
  <c r="H51" i="1"/>
  <c r="G51" i="1"/>
  <c r="F51" i="1"/>
  <c r="L51" i="1" s="1"/>
  <c r="E51" i="1"/>
  <c r="D51" i="1"/>
  <c r="M51" i="1" l="1"/>
  <c r="T51" i="1"/>
  <c r="U51" i="1"/>
</calcChain>
</file>

<file path=xl/sharedStrings.xml><?xml version="1.0" encoding="utf-8"?>
<sst xmlns="http://schemas.openxmlformats.org/spreadsheetml/2006/main" count="77" uniqueCount="57">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</sst>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Protection="1">
      <protection locked="0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>
      <alignment horizontal="right"/>
    </xf>
    <xf numFmtId="1" fontId="3" fillId="2" borderId="2" xfId="0" applyNumberFormat="1" applyFont="1" applyFill="1" applyBorder="1"/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" fontId="5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 applyProtection="1">
      <alignment horizontal="left"/>
      <protection locked="0"/>
    </xf>
    <xf numFmtId="0" fontId="5" fillId="2" borderId="0" xfId="0" applyFont="1" applyFill="1"/>
    <xf numFmtId="0" fontId="7" fillId="2" borderId="2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right"/>
    </xf>
    <xf numFmtId="1" fontId="3" fillId="0" borderId="2" xfId="0" applyNumberFormat="1" applyFont="1" applyBorder="1"/>
    <xf numFmtId="0" fontId="3" fillId="0" borderId="0" xfId="0" applyFont="1"/>
    <xf numFmtId="1" fontId="5" fillId="2" borderId="2" xfId="0" applyNumberFormat="1" applyFont="1" applyFill="1" applyBorder="1"/>
    <xf numFmtId="1" fontId="3" fillId="2" borderId="0" xfId="0" applyNumberFormat="1" applyFont="1" applyFill="1"/>
    <xf numFmtId="1" fontId="5" fillId="2" borderId="0" xfId="0" applyNumberFormat="1" applyFont="1" applyFill="1"/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4" fillId="2" borderId="5" xfId="1" applyFont="1" applyFill="1" applyBorder="1" applyAlignment="1" applyProtection="1">
      <alignment horizontal="center" vertical="center"/>
      <protection locked="0"/>
    </xf>
    <xf numFmtId="0" fontId="4" fillId="2" borderId="9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horizontal="center" vertical="center"/>
      <protection locked="0"/>
    </xf>
    <xf numFmtId="0" fontId="4" fillId="2" borderId="7" xfId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U52"/>
  <sheetViews>
    <sheetView tabSelected="1" workbookViewId="0">
      <pane xSplit="3" ySplit="4" topLeftCell="D5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W9" sqref="W9"/>
    </sheetView>
  </sheetViews>
  <sheetFormatPr defaultColWidth="8.88671875" defaultRowHeight="11.4" x14ac:dyDescent="0.2"/>
  <cols>
    <col min="1" max="1" width="4.6640625" style="11" bestFit="1" customWidth="1"/>
    <col min="2" max="2" width="5.44140625" style="12" customWidth="1"/>
    <col min="3" max="3" width="38.44140625" style="12" customWidth="1"/>
    <col min="4" max="5" width="9.88671875" style="12" customWidth="1"/>
    <col min="6" max="6" width="10.33203125" style="12" bestFit="1" customWidth="1"/>
    <col min="7" max="7" width="12" style="12" bestFit="1" customWidth="1"/>
    <col min="8" max="9" width="10" style="12" bestFit="1" customWidth="1"/>
    <col min="10" max="10" width="9.5546875" style="12" bestFit="1" customWidth="1"/>
    <col min="11" max="11" width="8" style="12" bestFit="1" customWidth="1"/>
    <col min="12" max="12" width="9.21875" style="12" customWidth="1"/>
    <col min="13" max="13" width="11.77734375" style="12" customWidth="1"/>
    <col min="14" max="15" width="10" style="12" bestFit="1" customWidth="1"/>
    <col min="16" max="16" width="9.5546875" style="12" bestFit="1" customWidth="1"/>
    <col min="17" max="17" width="10" style="12" bestFit="1" customWidth="1"/>
    <col min="18" max="18" width="9.5546875" style="12" bestFit="1" customWidth="1"/>
    <col min="19" max="19" width="8" style="12" bestFit="1" customWidth="1"/>
    <col min="20" max="20" width="12.33203125" style="12" customWidth="1"/>
    <col min="21" max="16384" width="8.88671875" style="12"/>
  </cols>
  <sheetData>
    <row r="1" spans="1:21" ht="12" x14ac:dyDescent="0.2">
      <c r="B1" s="40"/>
      <c r="C1" s="41"/>
      <c r="D1" s="40"/>
      <c r="E1" s="40"/>
      <c r="F1" s="32" t="s">
        <v>0</v>
      </c>
      <c r="G1" s="33"/>
      <c r="H1" s="33"/>
      <c r="I1" s="33"/>
      <c r="J1" s="33"/>
      <c r="K1" s="33"/>
      <c r="L1" s="33"/>
      <c r="M1" s="34"/>
      <c r="N1" s="30" t="s">
        <v>1</v>
      </c>
      <c r="O1" s="31"/>
      <c r="P1" s="31"/>
      <c r="Q1" s="31"/>
      <c r="R1" s="31"/>
      <c r="S1" s="31"/>
      <c r="T1" s="31"/>
      <c r="U1" s="31"/>
    </row>
    <row r="2" spans="1:21" ht="12" x14ac:dyDescent="0.2">
      <c r="B2" s="40"/>
      <c r="C2" s="41"/>
      <c r="D2" s="40" t="s">
        <v>2</v>
      </c>
      <c r="E2" s="40" t="s">
        <v>3</v>
      </c>
      <c r="F2" s="35" t="s">
        <v>4</v>
      </c>
      <c r="G2" s="36"/>
      <c r="H2" s="36"/>
      <c r="I2" s="36"/>
      <c r="J2" s="36"/>
      <c r="K2" s="36"/>
      <c r="L2" s="36"/>
      <c r="M2" s="37"/>
      <c r="N2" s="30" t="s">
        <v>4</v>
      </c>
      <c r="O2" s="31"/>
      <c r="P2" s="31"/>
      <c r="Q2" s="31"/>
      <c r="R2" s="31"/>
      <c r="S2" s="31"/>
      <c r="T2" s="31"/>
      <c r="U2" s="31"/>
    </row>
    <row r="3" spans="1:21" ht="12" x14ac:dyDescent="0.2">
      <c r="B3" s="40"/>
      <c r="C3" s="41"/>
      <c r="D3" s="40"/>
      <c r="E3" s="40"/>
      <c r="F3" s="40" t="s">
        <v>5</v>
      </c>
      <c r="G3" s="40"/>
      <c r="H3" s="40" t="s">
        <v>6</v>
      </c>
      <c r="I3" s="40"/>
      <c r="J3" s="41" t="s">
        <v>7</v>
      </c>
      <c r="K3" s="41"/>
      <c r="L3" s="28" t="s">
        <v>56</v>
      </c>
      <c r="M3" s="29"/>
      <c r="N3" s="40" t="s">
        <v>5</v>
      </c>
      <c r="O3" s="40"/>
      <c r="P3" s="40" t="s">
        <v>6</v>
      </c>
      <c r="Q3" s="40"/>
      <c r="R3" s="41" t="s">
        <v>7</v>
      </c>
      <c r="S3" s="41"/>
      <c r="T3" s="28" t="s">
        <v>56</v>
      </c>
      <c r="U3" s="29"/>
    </row>
    <row r="4" spans="1:21" s="15" customFormat="1" ht="24.6" customHeight="1" x14ac:dyDescent="0.3">
      <c r="A4" s="14"/>
      <c r="B4" s="40"/>
      <c r="C4" s="41"/>
      <c r="D4" s="40"/>
      <c r="E4" s="40"/>
      <c r="F4" s="1" t="s">
        <v>8</v>
      </c>
      <c r="G4" s="1" t="s">
        <v>9</v>
      </c>
      <c r="H4" s="1" t="s">
        <v>8</v>
      </c>
      <c r="I4" s="1" t="s">
        <v>9</v>
      </c>
      <c r="J4" s="1" t="s">
        <v>8</v>
      </c>
      <c r="K4" s="1" t="s">
        <v>9</v>
      </c>
      <c r="L4" s="1" t="s">
        <v>8</v>
      </c>
      <c r="M4" s="1" t="s">
        <v>9</v>
      </c>
      <c r="N4" s="1" t="s">
        <v>8</v>
      </c>
      <c r="O4" s="1" t="s">
        <v>9</v>
      </c>
      <c r="P4" s="1" t="s">
        <v>8</v>
      </c>
      <c r="Q4" s="1" t="s">
        <v>9</v>
      </c>
      <c r="R4" s="1" t="s">
        <v>8</v>
      </c>
      <c r="S4" s="1" t="s">
        <v>9</v>
      </c>
      <c r="T4" s="1" t="s">
        <v>8</v>
      </c>
      <c r="U4" s="1" t="s">
        <v>9</v>
      </c>
    </row>
    <row r="5" spans="1:21" ht="12" x14ac:dyDescent="0.2">
      <c r="B5" s="2" t="s">
        <v>10</v>
      </c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1" x14ac:dyDescent="0.2">
      <c r="B6" s="18">
        <v>1</v>
      </c>
      <c r="C6" s="6" t="s">
        <v>11</v>
      </c>
      <c r="D6" s="7">
        <v>1824299</v>
      </c>
      <c r="E6" s="7">
        <v>80696087</v>
      </c>
      <c r="F6" s="8">
        <v>2309745</v>
      </c>
      <c r="G6" s="8">
        <v>6792765.1270000003</v>
      </c>
      <c r="H6" s="8">
        <v>2053933</v>
      </c>
      <c r="I6" s="8">
        <v>10337950.301000001</v>
      </c>
      <c r="J6" s="8">
        <v>0</v>
      </c>
      <c r="K6" s="8">
        <v>0</v>
      </c>
      <c r="L6" s="8">
        <f>F6+H6+J6</f>
        <v>4363678</v>
      </c>
      <c r="M6" s="8">
        <f>K6+I6+G6</f>
        <v>17130715.428000003</v>
      </c>
      <c r="N6" s="8">
        <v>6606778</v>
      </c>
      <c r="O6" s="8">
        <v>13114662.309</v>
      </c>
      <c r="P6" s="8">
        <v>2267410</v>
      </c>
      <c r="Q6" s="8">
        <v>5713638.2999999998</v>
      </c>
      <c r="R6" s="8">
        <v>9</v>
      </c>
      <c r="S6" s="8">
        <v>24.501000000000001</v>
      </c>
      <c r="T6" s="26">
        <f>R6+P6+N6</f>
        <v>8874197</v>
      </c>
      <c r="U6" s="26">
        <f>S6+Q6+O6</f>
        <v>18828325.109999999</v>
      </c>
    </row>
    <row r="7" spans="1:21" x14ac:dyDescent="0.2">
      <c r="B7" s="18">
        <v>2</v>
      </c>
      <c r="C7" s="6" t="s">
        <v>12</v>
      </c>
      <c r="D7" s="7">
        <v>84722</v>
      </c>
      <c r="E7" s="7">
        <v>46824899</v>
      </c>
      <c r="F7" s="8">
        <v>160155</v>
      </c>
      <c r="G7" s="8">
        <v>552853.21887999994</v>
      </c>
      <c r="H7" s="8">
        <v>70937</v>
      </c>
      <c r="I7" s="8">
        <v>253456.30230000001</v>
      </c>
      <c r="J7" s="8">
        <v>0</v>
      </c>
      <c r="K7" s="8">
        <v>0</v>
      </c>
      <c r="L7" s="8">
        <f t="shared" ref="L7:L51" si="0">F7+H7+J7</f>
        <v>231092</v>
      </c>
      <c r="M7" s="8">
        <f t="shared" ref="M7:M51" si="1">K7+I7+G7</f>
        <v>806309.52117999992</v>
      </c>
      <c r="N7" s="8">
        <v>4362722</v>
      </c>
      <c r="O7" s="8">
        <v>7660196.0296800006</v>
      </c>
      <c r="P7" s="8">
        <v>1597922</v>
      </c>
      <c r="Q7" s="8">
        <v>2554861.80522</v>
      </c>
      <c r="R7" s="8">
        <v>0</v>
      </c>
      <c r="S7" s="8">
        <v>0</v>
      </c>
      <c r="T7" s="26">
        <f t="shared" ref="T7:T51" si="2">R7+P7+N7</f>
        <v>5960644</v>
      </c>
      <c r="U7" s="26">
        <f t="shared" ref="U7:U51" si="3">S7+Q7+O7</f>
        <v>10215057.834900001</v>
      </c>
    </row>
    <row r="8" spans="1:21" x14ac:dyDescent="0.2">
      <c r="B8" s="18">
        <v>3</v>
      </c>
      <c r="C8" s="9" t="s">
        <v>13</v>
      </c>
      <c r="D8" s="10">
        <v>33716</v>
      </c>
      <c r="E8" s="10">
        <v>13271463</v>
      </c>
      <c r="F8" s="8">
        <v>60253</v>
      </c>
      <c r="G8" s="8">
        <v>235887.74636001448</v>
      </c>
      <c r="H8" s="8">
        <v>23581</v>
      </c>
      <c r="I8" s="8">
        <v>119705.18403999927</v>
      </c>
      <c r="J8" s="8">
        <v>0</v>
      </c>
      <c r="K8" s="8">
        <v>0</v>
      </c>
      <c r="L8" s="8">
        <f t="shared" si="0"/>
        <v>83834</v>
      </c>
      <c r="M8" s="8">
        <f t="shared" si="1"/>
        <v>355592.93040001375</v>
      </c>
      <c r="N8" s="8">
        <v>1836309</v>
      </c>
      <c r="O8" s="8">
        <v>2878445.1845200001</v>
      </c>
      <c r="P8" s="8">
        <v>696053</v>
      </c>
      <c r="Q8" s="8">
        <v>1060806.76128</v>
      </c>
      <c r="R8" s="8">
        <v>7757</v>
      </c>
      <c r="S8" s="8">
        <v>87052.697050000002</v>
      </c>
      <c r="T8" s="26">
        <f t="shared" si="2"/>
        <v>2540119</v>
      </c>
      <c r="U8" s="26">
        <f t="shared" si="3"/>
        <v>4026304.6428500004</v>
      </c>
    </row>
    <row r="9" spans="1:21" x14ac:dyDescent="0.2">
      <c r="B9" s="18">
        <v>4</v>
      </c>
      <c r="C9" s="6" t="s">
        <v>14</v>
      </c>
      <c r="D9" s="7">
        <v>610068</v>
      </c>
      <c r="E9" s="7">
        <v>49589295</v>
      </c>
      <c r="F9" s="8">
        <v>809740</v>
      </c>
      <c r="G9" s="8">
        <v>2288330.9819999998</v>
      </c>
      <c r="H9" s="8">
        <v>280410</v>
      </c>
      <c r="I9" s="8">
        <v>1077444.9380000001</v>
      </c>
      <c r="J9" s="8">
        <v>0</v>
      </c>
      <c r="K9" s="8">
        <v>0</v>
      </c>
      <c r="L9" s="8">
        <f t="shared" si="0"/>
        <v>1090150</v>
      </c>
      <c r="M9" s="8">
        <f t="shared" si="1"/>
        <v>3365775.92</v>
      </c>
      <c r="N9" s="8">
        <v>9080661</v>
      </c>
      <c r="O9" s="8">
        <v>19345274.936000001</v>
      </c>
      <c r="P9" s="8">
        <v>1991696</v>
      </c>
      <c r="Q9" s="8">
        <v>4372540.8710000003</v>
      </c>
      <c r="R9" s="8">
        <v>5697</v>
      </c>
      <c r="S9" s="8">
        <v>89363.123999999996</v>
      </c>
      <c r="T9" s="26">
        <f t="shared" si="2"/>
        <v>11078054</v>
      </c>
      <c r="U9" s="26">
        <f t="shared" si="3"/>
        <v>23807178.931000002</v>
      </c>
    </row>
    <row r="10" spans="1:21" x14ac:dyDescent="0.2">
      <c r="B10" s="18">
        <v>5</v>
      </c>
      <c r="C10" s="6" t="s">
        <v>15</v>
      </c>
      <c r="D10" s="7">
        <v>0</v>
      </c>
      <c r="E10" s="7">
        <v>28029550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f t="shared" si="0"/>
        <v>0</v>
      </c>
      <c r="M10" s="8">
        <f t="shared" si="1"/>
        <v>0</v>
      </c>
      <c r="N10" s="8">
        <v>2804597</v>
      </c>
      <c r="O10" s="8">
        <v>6212432.551</v>
      </c>
      <c r="P10" s="8">
        <v>508168</v>
      </c>
      <c r="Q10" s="8">
        <v>1170726.5379999999</v>
      </c>
      <c r="R10" s="8">
        <v>0</v>
      </c>
      <c r="S10" s="8">
        <v>0</v>
      </c>
      <c r="T10" s="26">
        <f t="shared" si="2"/>
        <v>3312765</v>
      </c>
      <c r="U10" s="26">
        <f t="shared" si="3"/>
        <v>7383159.0889999997</v>
      </c>
    </row>
    <row r="11" spans="1:21" x14ac:dyDescent="0.2">
      <c r="B11" s="18">
        <v>6</v>
      </c>
      <c r="C11" s="6" t="s">
        <v>16</v>
      </c>
      <c r="D11" s="7">
        <v>154234</v>
      </c>
      <c r="E11" s="7">
        <v>29042234</v>
      </c>
      <c r="F11" s="8">
        <v>137416</v>
      </c>
      <c r="G11" s="8">
        <v>465406.435</v>
      </c>
      <c r="H11" s="8">
        <v>68539</v>
      </c>
      <c r="I11" s="8">
        <v>276570.86700000003</v>
      </c>
      <c r="J11" s="8">
        <v>0</v>
      </c>
      <c r="K11" s="8">
        <v>0</v>
      </c>
      <c r="L11" s="8">
        <f t="shared" si="0"/>
        <v>205955</v>
      </c>
      <c r="M11" s="8">
        <f t="shared" si="1"/>
        <v>741977.30200000003</v>
      </c>
      <c r="N11" s="8">
        <v>5072748</v>
      </c>
      <c r="O11" s="8">
        <v>10012647.502</v>
      </c>
      <c r="P11" s="8">
        <v>2032739</v>
      </c>
      <c r="Q11" s="8">
        <v>3516055.8509999998</v>
      </c>
      <c r="R11" s="8">
        <v>4319</v>
      </c>
      <c r="S11" s="8">
        <v>65661.118000000002</v>
      </c>
      <c r="T11" s="26">
        <f t="shared" si="2"/>
        <v>7109806</v>
      </c>
      <c r="U11" s="26">
        <f t="shared" si="3"/>
        <v>13594364.471000001</v>
      </c>
    </row>
    <row r="12" spans="1:21" x14ac:dyDescent="0.2">
      <c r="B12" s="18">
        <v>7</v>
      </c>
      <c r="C12" s="6" t="s">
        <v>17</v>
      </c>
      <c r="D12" s="7">
        <v>77361</v>
      </c>
      <c r="E12" s="7">
        <v>16102621</v>
      </c>
      <c r="F12" s="8">
        <v>71618</v>
      </c>
      <c r="G12" s="8">
        <v>180397.63666999998</v>
      </c>
      <c r="H12" s="8">
        <v>25199</v>
      </c>
      <c r="I12" s="8">
        <v>70552.449219999995</v>
      </c>
      <c r="J12" s="8">
        <v>0</v>
      </c>
      <c r="K12" s="8">
        <v>0</v>
      </c>
      <c r="L12" s="8">
        <f t="shared" si="0"/>
        <v>96817</v>
      </c>
      <c r="M12" s="8">
        <f t="shared" si="1"/>
        <v>250950.08588999999</v>
      </c>
      <c r="N12" s="8">
        <v>3373955</v>
      </c>
      <c r="O12" s="8">
        <v>6374054.83268</v>
      </c>
      <c r="P12" s="8">
        <v>936804</v>
      </c>
      <c r="Q12" s="8">
        <v>1696392.8291800001</v>
      </c>
      <c r="R12" s="8">
        <v>0</v>
      </c>
      <c r="S12" s="8">
        <v>0</v>
      </c>
      <c r="T12" s="26">
        <f t="shared" si="2"/>
        <v>4310759</v>
      </c>
      <c r="U12" s="26">
        <f t="shared" si="3"/>
        <v>8070447.6618600003</v>
      </c>
    </row>
    <row r="13" spans="1:21" x14ac:dyDescent="0.2">
      <c r="B13" s="18">
        <v>8</v>
      </c>
      <c r="C13" s="6" t="s">
        <v>18</v>
      </c>
      <c r="D13" s="7">
        <v>0</v>
      </c>
      <c r="E13" s="7">
        <v>3633066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f t="shared" si="0"/>
        <v>0</v>
      </c>
      <c r="M13" s="8">
        <f t="shared" si="1"/>
        <v>0</v>
      </c>
      <c r="N13" s="8">
        <v>651857</v>
      </c>
      <c r="O13" s="8">
        <v>1478383.9680699999</v>
      </c>
      <c r="P13" s="8">
        <v>107909</v>
      </c>
      <c r="Q13" s="8">
        <v>360598.98466000002</v>
      </c>
      <c r="R13" s="8">
        <v>0</v>
      </c>
      <c r="S13" s="8">
        <v>0</v>
      </c>
      <c r="T13" s="26">
        <f t="shared" si="2"/>
        <v>759766</v>
      </c>
      <c r="U13" s="26">
        <f t="shared" si="3"/>
        <v>1838982.95273</v>
      </c>
    </row>
    <row r="14" spans="1:21" x14ac:dyDescent="0.2">
      <c r="B14" s="18">
        <v>9</v>
      </c>
      <c r="C14" s="6" t="s">
        <v>19</v>
      </c>
      <c r="D14" s="7">
        <v>324010</v>
      </c>
      <c r="E14" s="7">
        <v>41657959</v>
      </c>
      <c r="F14" s="8">
        <v>491125</v>
      </c>
      <c r="G14" s="8">
        <v>1625206.0243199999</v>
      </c>
      <c r="H14" s="8">
        <v>190708</v>
      </c>
      <c r="I14" s="8">
        <v>686020.09730999998</v>
      </c>
      <c r="J14" s="8">
        <v>0</v>
      </c>
      <c r="K14" s="8">
        <v>0</v>
      </c>
      <c r="L14" s="8">
        <f t="shared" si="0"/>
        <v>681833</v>
      </c>
      <c r="M14" s="8">
        <f t="shared" si="1"/>
        <v>2311226.12163</v>
      </c>
      <c r="N14" s="8">
        <v>6760160</v>
      </c>
      <c r="O14" s="8">
        <v>15174020.17172</v>
      </c>
      <c r="P14" s="8">
        <v>3301144</v>
      </c>
      <c r="Q14" s="8">
        <v>6750600.6714799991</v>
      </c>
      <c r="R14" s="8">
        <v>0</v>
      </c>
      <c r="S14" s="8">
        <v>0</v>
      </c>
      <c r="T14" s="26">
        <f t="shared" si="2"/>
        <v>10061304</v>
      </c>
      <c r="U14" s="26">
        <f t="shared" si="3"/>
        <v>21924620.843199998</v>
      </c>
    </row>
    <row r="15" spans="1:21" x14ac:dyDescent="0.2">
      <c r="B15" s="18">
        <v>10</v>
      </c>
      <c r="C15" s="6" t="s">
        <v>20</v>
      </c>
      <c r="D15" s="7">
        <v>16210142</v>
      </c>
      <c r="E15" s="7">
        <v>273051248</v>
      </c>
      <c r="F15" s="8">
        <v>27371804</v>
      </c>
      <c r="G15" s="8">
        <v>82482572.755999997</v>
      </c>
      <c r="H15" s="8">
        <v>20132186</v>
      </c>
      <c r="I15" s="8">
        <v>160489330.579</v>
      </c>
      <c r="J15" s="8">
        <v>0</v>
      </c>
      <c r="K15" s="8">
        <v>0</v>
      </c>
      <c r="L15" s="8">
        <f t="shared" si="0"/>
        <v>47503990</v>
      </c>
      <c r="M15" s="8">
        <f t="shared" si="1"/>
        <v>242971903.33499998</v>
      </c>
      <c r="N15" s="8">
        <v>50761596</v>
      </c>
      <c r="O15" s="8">
        <v>104614478.72288001</v>
      </c>
      <c r="P15" s="8">
        <v>20653288</v>
      </c>
      <c r="Q15" s="8">
        <v>40018044.545550004</v>
      </c>
      <c r="R15" s="8">
        <v>1739</v>
      </c>
      <c r="S15" s="8">
        <v>24579.574000000001</v>
      </c>
      <c r="T15" s="26">
        <f t="shared" si="2"/>
        <v>71416623</v>
      </c>
      <c r="U15" s="26">
        <f t="shared" si="3"/>
        <v>144657102.84243</v>
      </c>
    </row>
    <row r="16" spans="1:21" x14ac:dyDescent="0.2">
      <c r="B16" s="18">
        <v>11</v>
      </c>
      <c r="C16" s="6" t="s">
        <v>21</v>
      </c>
      <c r="D16" s="7">
        <v>0</v>
      </c>
      <c r="E16" s="7">
        <v>12318323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f t="shared" si="0"/>
        <v>0</v>
      </c>
      <c r="M16" s="8">
        <f t="shared" si="1"/>
        <v>0</v>
      </c>
      <c r="N16" s="8">
        <v>1982253</v>
      </c>
      <c r="O16" s="8">
        <v>3705329.6015900001</v>
      </c>
      <c r="P16" s="8">
        <v>438520</v>
      </c>
      <c r="Q16" s="8">
        <v>1112199.5774000001</v>
      </c>
      <c r="R16" s="8">
        <v>945</v>
      </c>
      <c r="S16" s="8">
        <v>13896.03184</v>
      </c>
      <c r="T16" s="26">
        <f t="shared" si="2"/>
        <v>2421718</v>
      </c>
      <c r="U16" s="26">
        <f t="shared" si="3"/>
        <v>4831425.2108300002</v>
      </c>
    </row>
    <row r="17" spans="2:21" x14ac:dyDescent="0.2">
      <c r="B17" s="18">
        <v>12</v>
      </c>
      <c r="C17" s="6" t="s">
        <v>22</v>
      </c>
      <c r="D17" s="7">
        <v>601682</v>
      </c>
      <c r="E17" s="7">
        <v>46762427</v>
      </c>
      <c r="F17" s="8">
        <v>605637</v>
      </c>
      <c r="G17" s="8">
        <v>2046632.5630000001</v>
      </c>
      <c r="H17" s="8">
        <v>354958</v>
      </c>
      <c r="I17" s="8">
        <v>1330576.3970000001</v>
      </c>
      <c r="J17" s="8">
        <v>0</v>
      </c>
      <c r="K17" s="8">
        <v>0</v>
      </c>
      <c r="L17" s="8">
        <f t="shared" si="0"/>
        <v>960595</v>
      </c>
      <c r="M17" s="8">
        <f t="shared" si="1"/>
        <v>3377208.96</v>
      </c>
      <c r="N17" s="8">
        <v>8460349</v>
      </c>
      <c r="O17" s="8">
        <v>15209066.767000001</v>
      </c>
      <c r="P17" s="8">
        <v>4511557</v>
      </c>
      <c r="Q17" s="8">
        <v>7646176.2680000002</v>
      </c>
      <c r="R17" s="8">
        <v>3343</v>
      </c>
      <c r="S17" s="8">
        <v>12698.369000000001</v>
      </c>
      <c r="T17" s="26">
        <f t="shared" si="2"/>
        <v>12975249</v>
      </c>
      <c r="U17" s="26">
        <f t="shared" si="3"/>
        <v>22867941.403999999</v>
      </c>
    </row>
    <row r="18" spans="2:21" ht="12" x14ac:dyDescent="0.2">
      <c r="B18" s="2" t="s">
        <v>23</v>
      </c>
      <c r="C18" s="5"/>
      <c r="D18" s="3"/>
      <c r="E18" s="3"/>
      <c r="F18" s="4"/>
      <c r="G18" s="4"/>
      <c r="H18" s="4"/>
      <c r="I18" s="4"/>
      <c r="J18" s="4"/>
      <c r="K18" s="4"/>
      <c r="L18" s="8"/>
      <c r="M18" s="8"/>
      <c r="N18" s="8"/>
      <c r="O18" s="8"/>
      <c r="P18" s="8"/>
      <c r="Q18" s="8"/>
      <c r="R18" s="8"/>
      <c r="S18" s="8"/>
      <c r="T18" s="26"/>
      <c r="U18" s="26"/>
    </row>
    <row r="19" spans="2:21" x14ac:dyDescent="0.2">
      <c r="B19" s="18">
        <v>13</v>
      </c>
      <c r="C19" s="6" t="s">
        <v>24</v>
      </c>
      <c r="D19" s="7">
        <v>9585255</v>
      </c>
      <c r="E19" s="7">
        <v>28890599</v>
      </c>
      <c r="F19" s="8">
        <v>19596982</v>
      </c>
      <c r="G19" s="8">
        <v>61611990.259450004</v>
      </c>
      <c r="H19" s="8">
        <v>12950202</v>
      </c>
      <c r="I19" s="8">
        <v>56022076.778010003</v>
      </c>
      <c r="J19" s="8">
        <v>0</v>
      </c>
      <c r="K19" s="8">
        <v>0</v>
      </c>
      <c r="L19" s="8">
        <f t="shared" si="0"/>
        <v>32547184</v>
      </c>
      <c r="M19" s="8">
        <f t="shared" si="1"/>
        <v>117634067.03746</v>
      </c>
      <c r="N19" s="8">
        <v>9329694</v>
      </c>
      <c r="O19" s="8">
        <v>22540609.545110002</v>
      </c>
      <c r="P19" s="8">
        <v>3986633</v>
      </c>
      <c r="Q19" s="8">
        <v>13125277.071220001</v>
      </c>
      <c r="R19" s="8">
        <v>18305</v>
      </c>
      <c r="S19" s="8">
        <v>463449.90489000001</v>
      </c>
      <c r="T19" s="26">
        <f t="shared" si="2"/>
        <v>13334632</v>
      </c>
      <c r="U19" s="26">
        <f t="shared" si="3"/>
        <v>36129336.521220006</v>
      </c>
    </row>
    <row r="20" spans="2:21" x14ac:dyDescent="0.2">
      <c r="B20" s="18">
        <v>14</v>
      </c>
      <c r="C20" s="6" t="s">
        <v>25</v>
      </c>
      <c r="D20" s="7">
        <v>0</v>
      </c>
      <c r="E20" s="7">
        <v>5329042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f t="shared" si="0"/>
        <v>0</v>
      </c>
      <c r="M20" s="8">
        <f t="shared" si="1"/>
        <v>0</v>
      </c>
      <c r="N20" s="8">
        <v>476876</v>
      </c>
      <c r="O20" s="8">
        <v>1189557.4898600001</v>
      </c>
      <c r="P20" s="8">
        <v>215592</v>
      </c>
      <c r="Q20" s="8">
        <v>628479.56574999995</v>
      </c>
      <c r="R20" s="8">
        <v>0</v>
      </c>
      <c r="S20" s="8">
        <v>0</v>
      </c>
      <c r="T20" s="26">
        <f t="shared" si="2"/>
        <v>692468</v>
      </c>
      <c r="U20" s="26">
        <f t="shared" si="3"/>
        <v>1818037.0556100002</v>
      </c>
    </row>
    <row r="21" spans="2:21" x14ac:dyDescent="0.2">
      <c r="B21" s="18">
        <v>15</v>
      </c>
      <c r="C21" s="6" t="s">
        <v>26</v>
      </c>
      <c r="D21" s="7">
        <v>4199</v>
      </c>
      <c r="E21" s="7">
        <v>2715112</v>
      </c>
      <c r="F21" s="8">
        <v>7804</v>
      </c>
      <c r="G21" s="8">
        <v>17196.358969999997</v>
      </c>
      <c r="H21" s="8">
        <v>2820</v>
      </c>
      <c r="I21" s="8">
        <v>13708.485429999999</v>
      </c>
      <c r="J21" s="8">
        <v>0</v>
      </c>
      <c r="K21" s="8">
        <v>0</v>
      </c>
      <c r="L21" s="8">
        <f t="shared" si="0"/>
        <v>10624</v>
      </c>
      <c r="M21" s="8">
        <f t="shared" si="1"/>
        <v>30904.844399999994</v>
      </c>
      <c r="N21" s="8">
        <v>791129</v>
      </c>
      <c r="O21" s="8">
        <v>1635204.0190000001</v>
      </c>
      <c r="P21" s="8">
        <v>125844</v>
      </c>
      <c r="Q21" s="8">
        <v>264150.92491999996</v>
      </c>
      <c r="R21" s="8">
        <v>0</v>
      </c>
      <c r="S21" s="8">
        <v>0</v>
      </c>
      <c r="T21" s="26">
        <f t="shared" si="2"/>
        <v>916973</v>
      </c>
      <c r="U21" s="26">
        <f t="shared" si="3"/>
        <v>1899354.94392</v>
      </c>
    </row>
    <row r="22" spans="2:21" x14ac:dyDescent="0.2">
      <c r="B22" s="18">
        <v>16</v>
      </c>
      <c r="C22" s="6" t="s">
        <v>27</v>
      </c>
      <c r="D22" s="7">
        <v>1400</v>
      </c>
      <c r="E22" s="7">
        <v>871705</v>
      </c>
      <c r="F22" s="8">
        <v>1994</v>
      </c>
      <c r="G22" s="8">
        <v>10169.697179999999</v>
      </c>
      <c r="H22" s="8">
        <v>2062</v>
      </c>
      <c r="I22" s="8">
        <v>22604.58022</v>
      </c>
      <c r="J22" s="8">
        <v>0</v>
      </c>
      <c r="K22" s="8">
        <v>0</v>
      </c>
      <c r="L22" s="8">
        <f t="shared" si="0"/>
        <v>4056</v>
      </c>
      <c r="M22" s="8">
        <f t="shared" si="1"/>
        <v>32774.277399999999</v>
      </c>
      <c r="N22" s="8">
        <v>247100</v>
      </c>
      <c r="O22" s="8">
        <v>441167.23180000001</v>
      </c>
      <c r="P22" s="8">
        <v>31331</v>
      </c>
      <c r="Q22" s="8">
        <v>69058.453040000008</v>
      </c>
      <c r="R22" s="8">
        <v>12</v>
      </c>
      <c r="S22" s="8">
        <v>100.5</v>
      </c>
      <c r="T22" s="26">
        <f t="shared" si="2"/>
        <v>278443</v>
      </c>
      <c r="U22" s="26">
        <f t="shared" si="3"/>
        <v>510326.18484</v>
      </c>
    </row>
    <row r="23" spans="2:21" x14ac:dyDescent="0.2">
      <c r="B23" s="18">
        <v>17</v>
      </c>
      <c r="C23" s="6" t="s">
        <v>28</v>
      </c>
      <c r="D23" s="7">
        <v>0</v>
      </c>
      <c r="E23" s="7">
        <v>942892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f t="shared" si="0"/>
        <v>0</v>
      </c>
      <c r="M23" s="8">
        <f t="shared" si="1"/>
        <v>0</v>
      </c>
      <c r="N23" s="8">
        <v>142836</v>
      </c>
      <c r="O23" s="8">
        <v>350370.64899999998</v>
      </c>
      <c r="P23" s="8">
        <v>31729</v>
      </c>
      <c r="Q23" s="8">
        <v>130495.76</v>
      </c>
      <c r="R23" s="8">
        <v>392</v>
      </c>
      <c r="S23" s="8">
        <v>13151.575000000001</v>
      </c>
      <c r="T23" s="26">
        <f t="shared" si="2"/>
        <v>174957</v>
      </c>
      <c r="U23" s="26">
        <f t="shared" si="3"/>
        <v>494017.98399999994</v>
      </c>
    </row>
    <row r="24" spans="2:21" x14ac:dyDescent="0.2">
      <c r="B24" s="18">
        <v>18</v>
      </c>
      <c r="C24" s="6" t="s">
        <v>29</v>
      </c>
      <c r="D24" s="7">
        <v>8781</v>
      </c>
      <c r="E24" s="7">
        <v>533066</v>
      </c>
      <c r="F24" s="8">
        <v>22238</v>
      </c>
      <c r="G24" s="8">
        <v>46552.73575</v>
      </c>
      <c r="H24" s="8">
        <v>6011</v>
      </c>
      <c r="I24" s="8">
        <v>19197.443289999999</v>
      </c>
      <c r="J24" s="8">
        <v>9</v>
      </c>
      <c r="K24" s="8">
        <v>28.036799999999999</v>
      </c>
      <c r="L24" s="8">
        <f t="shared" si="0"/>
        <v>28258</v>
      </c>
      <c r="M24" s="8">
        <f t="shared" si="1"/>
        <v>65778.215840000004</v>
      </c>
      <c r="N24" s="8">
        <v>247915</v>
      </c>
      <c r="O24" s="8">
        <v>399335.21902999975</v>
      </c>
      <c r="P24" s="8">
        <v>22532</v>
      </c>
      <c r="Q24" s="8">
        <v>56936.611079999973</v>
      </c>
      <c r="R24" s="8">
        <v>0</v>
      </c>
      <c r="S24" s="8">
        <v>0</v>
      </c>
      <c r="T24" s="26">
        <f t="shared" si="2"/>
        <v>270447</v>
      </c>
      <c r="U24" s="26">
        <f t="shared" si="3"/>
        <v>456271.83010999975</v>
      </c>
    </row>
    <row r="25" spans="2:21" x14ac:dyDescent="0.2">
      <c r="B25" s="18">
        <v>19</v>
      </c>
      <c r="C25" s="6" t="s">
        <v>30</v>
      </c>
      <c r="D25" s="7">
        <v>491928</v>
      </c>
      <c r="E25" s="7">
        <v>12092975</v>
      </c>
      <c r="F25" s="8">
        <v>1127130</v>
      </c>
      <c r="G25" s="8">
        <v>3445976.66</v>
      </c>
      <c r="H25" s="8">
        <v>1069702</v>
      </c>
      <c r="I25" s="8">
        <v>5788406.1097200001</v>
      </c>
      <c r="J25" s="8">
        <v>0</v>
      </c>
      <c r="K25" s="8">
        <v>0</v>
      </c>
      <c r="L25" s="8">
        <f t="shared" si="0"/>
        <v>2196832</v>
      </c>
      <c r="M25" s="8">
        <f t="shared" si="1"/>
        <v>9234382.7697199993</v>
      </c>
      <c r="N25" s="8">
        <v>5015373</v>
      </c>
      <c r="O25" s="8">
        <v>9290072.7090000007</v>
      </c>
      <c r="P25" s="8">
        <v>1699018</v>
      </c>
      <c r="Q25" s="8">
        <v>4276755.358</v>
      </c>
      <c r="R25" s="8">
        <v>2336</v>
      </c>
      <c r="S25" s="8">
        <v>29062.317920000001</v>
      </c>
      <c r="T25" s="26">
        <f t="shared" si="2"/>
        <v>6716727</v>
      </c>
      <c r="U25" s="26">
        <f t="shared" si="3"/>
        <v>13595890.384920001</v>
      </c>
    </row>
    <row r="26" spans="2:21" x14ac:dyDescent="0.2">
      <c r="B26" s="18">
        <v>20</v>
      </c>
      <c r="C26" s="6" t="s">
        <v>31</v>
      </c>
      <c r="D26" s="7">
        <v>17235273</v>
      </c>
      <c r="E26" s="7">
        <v>50135874</v>
      </c>
      <c r="F26" s="8">
        <v>33708287</v>
      </c>
      <c r="G26" s="8">
        <v>130533153.55441999</v>
      </c>
      <c r="H26" s="8">
        <v>29259189</v>
      </c>
      <c r="I26" s="8">
        <v>221783617.61541</v>
      </c>
      <c r="J26" s="8">
        <v>0</v>
      </c>
      <c r="K26" s="8">
        <v>0</v>
      </c>
      <c r="L26" s="8">
        <f t="shared" si="0"/>
        <v>62967476</v>
      </c>
      <c r="M26" s="8">
        <f t="shared" si="1"/>
        <v>352316771.16982996</v>
      </c>
      <c r="N26" s="8">
        <v>21043810</v>
      </c>
      <c r="O26" s="8">
        <v>54080883.935999997</v>
      </c>
      <c r="P26" s="8">
        <v>13615454</v>
      </c>
      <c r="Q26" s="8">
        <v>39580662.019000001</v>
      </c>
      <c r="R26" s="8">
        <v>95602</v>
      </c>
      <c r="S26" s="8">
        <v>1594359.808</v>
      </c>
      <c r="T26" s="26">
        <f t="shared" si="2"/>
        <v>34754866</v>
      </c>
      <c r="U26" s="26">
        <f t="shared" si="3"/>
        <v>95255905.762999997</v>
      </c>
    </row>
    <row r="27" spans="2:21" x14ac:dyDescent="0.2">
      <c r="B27" s="18">
        <v>21</v>
      </c>
      <c r="C27" s="6" t="s">
        <v>32</v>
      </c>
      <c r="D27" s="7">
        <v>13655812</v>
      </c>
      <c r="E27" s="7">
        <v>32681104</v>
      </c>
      <c r="F27" s="8">
        <v>19826650</v>
      </c>
      <c r="G27" s="8">
        <v>69055283.208000004</v>
      </c>
      <c r="H27" s="8">
        <v>28361957</v>
      </c>
      <c r="I27" s="8">
        <v>148918551.74000001</v>
      </c>
      <c r="J27" s="8">
        <v>37</v>
      </c>
      <c r="K27" s="8">
        <v>1472.0029999999999</v>
      </c>
      <c r="L27" s="8">
        <f t="shared" si="0"/>
        <v>48188644</v>
      </c>
      <c r="M27" s="8">
        <f t="shared" si="1"/>
        <v>217975306.95100001</v>
      </c>
      <c r="N27" s="8">
        <v>13449806</v>
      </c>
      <c r="O27" s="8">
        <v>36178776.818999998</v>
      </c>
      <c r="P27" s="8">
        <v>5258185</v>
      </c>
      <c r="Q27" s="8">
        <v>19832941.750999998</v>
      </c>
      <c r="R27" s="8">
        <v>25073</v>
      </c>
      <c r="S27" s="8">
        <v>248060.49100000001</v>
      </c>
      <c r="T27" s="26">
        <f t="shared" si="2"/>
        <v>18733064</v>
      </c>
      <c r="U27" s="26">
        <f t="shared" si="3"/>
        <v>56259779.060999997</v>
      </c>
    </row>
    <row r="28" spans="2:21" x14ac:dyDescent="0.2">
      <c r="B28" s="18">
        <v>22</v>
      </c>
      <c r="C28" s="6" t="s">
        <v>33</v>
      </c>
      <c r="D28" s="7">
        <v>44023</v>
      </c>
      <c r="E28" s="7">
        <v>12262322</v>
      </c>
      <c r="F28" s="8">
        <v>74743</v>
      </c>
      <c r="G28" s="8">
        <v>226300.18100000001</v>
      </c>
      <c r="H28" s="8">
        <v>46374</v>
      </c>
      <c r="I28" s="8">
        <v>161824.288</v>
      </c>
      <c r="J28" s="8">
        <v>0</v>
      </c>
      <c r="K28" s="8">
        <v>0</v>
      </c>
      <c r="L28" s="8">
        <f t="shared" si="0"/>
        <v>121117</v>
      </c>
      <c r="M28" s="8">
        <f t="shared" si="1"/>
        <v>388124.46900000004</v>
      </c>
      <c r="N28" s="8">
        <v>2143820</v>
      </c>
      <c r="O28" s="8">
        <v>4280946.5630000001</v>
      </c>
      <c r="P28" s="8">
        <v>427873</v>
      </c>
      <c r="Q28" s="8">
        <v>1022798.889</v>
      </c>
      <c r="R28" s="8">
        <v>0</v>
      </c>
      <c r="S28" s="8">
        <v>0</v>
      </c>
      <c r="T28" s="26">
        <f t="shared" si="2"/>
        <v>2571693</v>
      </c>
      <c r="U28" s="26">
        <f t="shared" si="3"/>
        <v>5303745.4519999996</v>
      </c>
    </row>
    <row r="29" spans="2:21" x14ac:dyDescent="0.2">
      <c r="B29" s="18">
        <v>23</v>
      </c>
      <c r="C29" s="6" t="s">
        <v>34</v>
      </c>
      <c r="D29" s="7">
        <v>1420664</v>
      </c>
      <c r="E29" s="7">
        <v>5969226</v>
      </c>
      <c r="F29" s="8">
        <v>2099531</v>
      </c>
      <c r="G29" s="8">
        <v>6903395.4139999999</v>
      </c>
      <c r="H29" s="8">
        <v>1701086</v>
      </c>
      <c r="I29" s="8">
        <v>10961000</v>
      </c>
      <c r="J29" s="8">
        <v>0</v>
      </c>
      <c r="K29" s="8">
        <v>0</v>
      </c>
      <c r="L29" s="8">
        <f t="shared" si="0"/>
        <v>3800617</v>
      </c>
      <c r="M29" s="8">
        <f t="shared" si="1"/>
        <v>17864395.414000001</v>
      </c>
      <c r="N29" s="8">
        <v>1069241</v>
      </c>
      <c r="O29" s="8">
        <v>2304003.56</v>
      </c>
      <c r="P29" s="8">
        <v>371464</v>
      </c>
      <c r="Q29" s="8">
        <v>1576090.7309999999</v>
      </c>
      <c r="R29" s="8">
        <v>0</v>
      </c>
      <c r="S29" s="8">
        <v>0</v>
      </c>
      <c r="T29" s="26">
        <f t="shared" si="2"/>
        <v>1440705</v>
      </c>
      <c r="U29" s="26">
        <f t="shared" si="3"/>
        <v>3880094.2910000002</v>
      </c>
    </row>
    <row r="30" spans="2:21" x14ac:dyDescent="0.2">
      <c r="B30" s="18">
        <v>24</v>
      </c>
      <c r="C30" s="6" t="s">
        <v>35</v>
      </c>
      <c r="D30" s="7">
        <v>2117950</v>
      </c>
      <c r="E30" s="7">
        <v>8137752</v>
      </c>
      <c r="F30" s="8">
        <v>3658870</v>
      </c>
      <c r="G30" s="8">
        <v>18046665.892999999</v>
      </c>
      <c r="H30" s="8">
        <v>2353655</v>
      </c>
      <c r="I30" s="8">
        <v>46604269.498000003</v>
      </c>
      <c r="J30" s="8">
        <v>0</v>
      </c>
      <c r="K30" s="8">
        <v>0</v>
      </c>
      <c r="L30" s="8">
        <f t="shared" si="0"/>
        <v>6012525</v>
      </c>
      <c r="M30" s="8">
        <f t="shared" si="1"/>
        <v>64650935.391000003</v>
      </c>
      <c r="N30" s="8">
        <v>1386630</v>
      </c>
      <c r="O30" s="8">
        <v>3172239.2230000002</v>
      </c>
      <c r="P30" s="8">
        <v>838206</v>
      </c>
      <c r="Q30" s="8">
        <v>2794797.0550000002</v>
      </c>
      <c r="R30" s="8">
        <v>895</v>
      </c>
      <c r="S30" s="8">
        <v>55422.561170000001</v>
      </c>
      <c r="T30" s="26">
        <f t="shared" si="2"/>
        <v>2225731</v>
      </c>
      <c r="U30" s="26">
        <f t="shared" si="3"/>
        <v>6022458.8391700005</v>
      </c>
    </row>
    <row r="31" spans="2:21" x14ac:dyDescent="0.2">
      <c r="B31" s="18">
        <v>25</v>
      </c>
      <c r="C31" s="6" t="s">
        <v>36</v>
      </c>
      <c r="D31" s="7">
        <v>87500</v>
      </c>
      <c r="E31" s="7">
        <v>3772532</v>
      </c>
      <c r="F31" s="8">
        <v>172433</v>
      </c>
      <c r="G31" s="8">
        <v>1092785.5889299999</v>
      </c>
      <c r="H31" s="8">
        <v>124877</v>
      </c>
      <c r="I31" s="8">
        <v>333182.49031000002</v>
      </c>
      <c r="J31" s="8">
        <v>0</v>
      </c>
      <c r="K31" s="8">
        <v>0</v>
      </c>
      <c r="L31" s="8">
        <f t="shared" si="0"/>
        <v>297310</v>
      </c>
      <c r="M31" s="8">
        <f t="shared" si="1"/>
        <v>1425968.0792399999</v>
      </c>
      <c r="N31" s="8">
        <v>1624539</v>
      </c>
      <c r="O31" s="8">
        <v>2864851.7684100005</v>
      </c>
      <c r="P31" s="8">
        <v>2763069</v>
      </c>
      <c r="Q31" s="8">
        <v>1215350.7871099999</v>
      </c>
      <c r="R31" s="8">
        <v>0</v>
      </c>
      <c r="S31" s="8">
        <v>0</v>
      </c>
      <c r="T31" s="26">
        <f t="shared" si="2"/>
        <v>4387608</v>
      </c>
      <c r="U31" s="26">
        <f t="shared" si="3"/>
        <v>4080202.5555200004</v>
      </c>
    </row>
    <row r="32" spans="2:21" x14ac:dyDescent="0.2">
      <c r="B32" s="18">
        <v>26</v>
      </c>
      <c r="C32" s="6" t="s">
        <v>37</v>
      </c>
      <c r="D32" s="7">
        <v>0</v>
      </c>
      <c r="E32" s="7">
        <v>5178073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f t="shared" si="0"/>
        <v>0</v>
      </c>
      <c r="M32" s="8">
        <f t="shared" si="1"/>
        <v>0</v>
      </c>
      <c r="N32" s="8">
        <v>1582146</v>
      </c>
      <c r="O32" s="8">
        <v>2394065.4530000002</v>
      </c>
      <c r="P32" s="8">
        <v>202179</v>
      </c>
      <c r="Q32" s="8">
        <v>436936.60499999998</v>
      </c>
      <c r="R32" s="8">
        <v>0</v>
      </c>
      <c r="S32" s="8">
        <v>0</v>
      </c>
      <c r="T32" s="26">
        <f t="shared" si="2"/>
        <v>1784325</v>
      </c>
      <c r="U32" s="26">
        <f t="shared" si="3"/>
        <v>2831002.0580000002</v>
      </c>
    </row>
    <row r="33" spans="1:21" x14ac:dyDescent="0.2">
      <c r="B33" s="18">
        <v>27</v>
      </c>
      <c r="C33" s="6" t="s">
        <v>38</v>
      </c>
      <c r="D33" s="7">
        <v>9965</v>
      </c>
      <c r="E33" s="7">
        <v>4207271</v>
      </c>
      <c r="F33" s="8">
        <v>30888</v>
      </c>
      <c r="G33" s="8">
        <v>192614.26841999998</v>
      </c>
      <c r="H33" s="8">
        <v>8595</v>
      </c>
      <c r="I33" s="8">
        <v>95900.990290000002</v>
      </c>
      <c r="J33" s="8">
        <v>0</v>
      </c>
      <c r="K33" s="8">
        <v>0</v>
      </c>
      <c r="L33" s="8">
        <f t="shared" si="0"/>
        <v>39483</v>
      </c>
      <c r="M33" s="8">
        <f t="shared" si="1"/>
        <v>288515.25870999997</v>
      </c>
      <c r="N33" s="8">
        <v>1736916</v>
      </c>
      <c r="O33" s="8">
        <v>3703828.5151499999</v>
      </c>
      <c r="P33" s="8">
        <v>306498</v>
      </c>
      <c r="Q33" s="8">
        <v>913396.44993</v>
      </c>
      <c r="R33" s="8">
        <v>9032</v>
      </c>
      <c r="S33" s="8">
        <v>196908.65515999999</v>
      </c>
      <c r="T33" s="26">
        <f t="shared" si="2"/>
        <v>2052446</v>
      </c>
      <c r="U33" s="26">
        <f t="shared" si="3"/>
        <v>4814133.6202400001</v>
      </c>
    </row>
    <row r="34" spans="1:21" x14ac:dyDescent="0.2">
      <c r="B34" s="18">
        <v>28</v>
      </c>
      <c r="C34" s="6" t="s">
        <v>39</v>
      </c>
      <c r="D34" s="7">
        <v>4809780</v>
      </c>
      <c r="E34" s="7">
        <v>27626811</v>
      </c>
      <c r="F34" s="8">
        <v>5360673</v>
      </c>
      <c r="G34" s="8">
        <v>17500164.120610002</v>
      </c>
      <c r="H34" s="8">
        <v>4223221</v>
      </c>
      <c r="I34" s="8">
        <v>25841754.09609</v>
      </c>
      <c r="J34" s="8">
        <v>0</v>
      </c>
      <c r="K34" s="8">
        <v>0</v>
      </c>
      <c r="L34" s="8">
        <f t="shared" si="0"/>
        <v>9583894</v>
      </c>
      <c r="M34" s="8">
        <f t="shared" si="1"/>
        <v>43341918.216700003</v>
      </c>
      <c r="N34" s="8">
        <v>4117389</v>
      </c>
      <c r="O34" s="8">
        <v>8009774.3309300002</v>
      </c>
      <c r="P34" s="8">
        <v>2926013</v>
      </c>
      <c r="Q34" s="8">
        <v>6757732.0433</v>
      </c>
      <c r="R34" s="8">
        <v>0</v>
      </c>
      <c r="S34" s="8">
        <v>0</v>
      </c>
      <c r="T34" s="26">
        <f t="shared" si="2"/>
        <v>7043402</v>
      </c>
      <c r="U34" s="26">
        <f t="shared" si="3"/>
        <v>14767506.374230001</v>
      </c>
    </row>
    <row r="35" spans="1:21" x14ac:dyDescent="0.2">
      <c r="B35" s="18">
        <v>29</v>
      </c>
      <c r="C35" s="6" t="s">
        <v>40</v>
      </c>
      <c r="D35" s="7">
        <v>0</v>
      </c>
      <c r="E35" s="7">
        <v>200911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f t="shared" si="0"/>
        <v>0</v>
      </c>
      <c r="M35" s="8">
        <f t="shared" si="1"/>
        <v>0</v>
      </c>
      <c r="N35" s="8">
        <v>28819</v>
      </c>
      <c r="O35" s="8">
        <v>52235.410899999995</v>
      </c>
      <c r="P35" s="8">
        <v>15909</v>
      </c>
      <c r="Q35" s="8">
        <v>34273.094799999999</v>
      </c>
      <c r="R35" s="8">
        <v>0</v>
      </c>
      <c r="S35" s="8">
        <v>0</v>
      </c>
      <c r="T35" s="26">
        <f t="shared" si="2"/>
        <v>44728</v>
      </c>
      <c r="U35" s="26">
        <f t="shared" si="3"/>
        <v>86508.505699999994</v>
      </c>
    </row>
    <row r="36" spans="1:21" x14ac:dyDescent="0.2">
      <c r="B36" s="18">
        <v>30</v>
      </c>
      <c r="C36" s="6" t="s">
        <v>41</v>
      </c>
      <c r="D36" s="7">
        <v>4319355</v>
      </c>
      <c r="E36" s="7">
        <v>1558896</v>
      </c>
      <c r="F36" s="8">
        <v>7187059</v>
      </c>
      <c r="G36" s="8">
        <v>30391780.818999998</v>
      </c>
      <c r="H36" s="8">
        <v>3220684</v>
      </c>
      <c r="I36" s="8">
        <v>23457937.232999999</v>
      </c>
      <c r="J36" s="8">
        <v>0</v>
      </c>
      <c r="K36" s="8">
        <v>0</v>
      </c>
      <c r="L36" s="8">
        <f t="shared" si="0"/>
        <v>10407743</v>
      </c>
      <c r="M36" s="8">
        <f t="shared" si="1"/>
        <v>53849718.052000001</v>
      </c>
      <c r="N36" s="8">
        <v>276774</v>
      </c>
      <c r="O36" s="8">
        <v>612893.674</v>
      </c>
      <c r="P36" s="8">
        <v>117681</v>
      </c>
      <c r="Q36" s="8">
        <v>467582.41600000003</v>
      </c>
      <c r="R36" s="8">
        <v>120</v>
      </c>
      <c r="S36" s="8">
        <v>7162.0719900000004</v>
      </c>
      <c r="T36" s="26">
        <f t="shared" si="2"/>
        <v>394575</v>
      </c>
      <c r="U36" s="26">
        <f t="shared" si="3"/>
        <v>1087638.1619899999</v>
      </c>
    </row>
    <row r="37" spans="1:21" x14ac:dyDescent="0.2">
      <c r="B37" s="18">
        <v>31</v>
      </c>
      <c r="C37" s="6" t="s">
        <v>42</v>
      </c>
      <c r="D37" s="7">
        <v>195708</v>
      </c>
      <c r="E37" s="7">
        <v>3723175</v>
      </c>
      <c r="F37" s="8">
        <v>520294</v>
      </c>
      <c r="G37" s="8">
        <v>1611604.1470000001</v>
      </c>
      <c r="H37" s="8">
        <v>444731</v>
      </c>
      <c r="I37" s="8">
        <v>2905153.8110000002</v>
      </c>
      <c r="J37" s="8">
        <v>0</v>
      </c>
      <c r="K37" s="8">
        <v>0</v>
      </c>
      <c r="L37" s="8">
        <f t="shared" si="0"/>
        <v>965025</v>
      </c>
      <c r="M37" s="8">
        <f t="shared" si="1"/>
        <v>4516757.9580000006</v>
      </c>
      <c r="N37" s="8">
        <v>1713802</v>
      </c>
      <c r="O37" s="8">
        <v>3288343.61</v>
      </c>
      <c r="P37" s="8">
        <v>288334</v>
      </c>
      <c r="Q37" s="8">
        <v>860345.24529999995</v>
      </c>
      <c r="R37" s="8">
        <v>0</v>
      </c>
      <c r="S37" s="8">
        <v>0</v>
      </c>
      <c r="T37" s="26">
        <f t="shared" si="2"/>
        <v>2002136</v>
      </c>
      <c r="U37" s="26">
        <f t="shared" si="3"/>
        <v>4148688.8552999999</v>
      </c>
    </row>
    <row r="38" spans="1:21" x14ac:dyDescent="0.2">
      <c r="B38" s="18">
        <v>32</v>
      </c>
      <c r="C38" s="6" t="s">
        <v>43</v>
      </c>
      <c r="D38" s="7">
        <v>40939</v>
      </c>
      <c r="E38" s="7">
        <v>2169669</v>
      </c>
      <c r="F38" s="8">
        <v>58003</v>
      </c>
      <c r="G38" s="8">
        <v>253207.44</v>
      </c>
      <c r="H38" s="8">
        <v>12658</v>
      </c>
      <c r="I38" s="8">
        <v>64623.972299999994</v>
      </c>
      <c r="J38" s="8">
        <v>0</v>
      </c>
      <c r="K38" s="8">
        <v>0</v>
      </c>
      <c r="L38" s="8">
        <f t="shared" si="0"/>
        <v>70661</v>
      </c>
      <c r="M38" s="8">
        <f t="shared" si="1"/>
        <v>317831.41229999997</v>
      </c>
      <c r="N38" s="8">
        <v>456269</v>
      </c>
      <c r="O38" s="8">
        <v>1013301.4</v>
      </c>
      <c r="P38" s="8">
        <v>96470</v>
      </c>
      <c r="Q38" s="8">
        <v>192889.90599999999</v>
      </c>
      <c r="R38" s="8">
        <v>85</v>
      </c>
      <c r="S38" s="8">
        <v>257.39100000000002</v>
      </c>
      <c r="T38" s="26">
        <f t="shared" si="2"/>
        <v>552824</v>
      </c>
      <c r="U38" s="26">
        <f t="shared" si="3"/>
        <v>1206448.6969999999</v>
      </c>
    </row>
    <row r="39" spans="1:21" x14ac:dyDescent="0.2">
      <c r="B39" s="18">
        <v>33</v>
      </c>
      <c r="C39" s="6" t="s">
        <v>44</v>
      </c>
      <c r="D39" s="7">
        <v>1354214</v>
      </c>
      <c r="E39" s="7">
        <v>4221468</v>
      </c>
      <c r="F39" s="8">
        <v>2128313</v>
      </c>
      <c r="G39" s="8">
        <v>7035237.2878999999</v>
      </c>
      <c r="H39" s="8">
        <v>935588</v>
      </c>
      <c r="I39" s="8">
        <v>7405432.9220699994</v>
      </c>
      <c r="J39" s="8">
        <v>0</v>
      </c>
      <c r="K39" s="8">
        <v>0</v>
      </c>
      <c r="L39" s="8">
        <f t="shared" si="0"/>
        <v>3063901</v>
      </c>
      <c r="M39" s="8">
        <f t="shared" si="1"/>
        <v>14440670.209969999</v>
      </c>
      <c r="N39" s="8">
        <v>1084456</v>
      </c>
      <c r="O39" s="8">
        <v>2329896.8045000001</v>
      </c>
      <c r="P39" s="8">
        <v>479468</v>
      </c>
      <c r="Q39" s="8">
        <v>1410544.7093900002</v>
      </c>
      <c r="R39" s="8">
        <v>44</v>
      </c>
      <c r="S39" s="8">
        <v>961.81415000000004</v>
      </c>
      <c r="T39" s="26">
        <f t="shared" si="2"/>
        <v>1563968</v>
      </c>
      <c r="U39" s="26">
        <f t="shared" si="3"/>
        <v>3741403.3280400001</v>
      </c>
    </row>
    <row r="40" spans="1:21" ht="12" x14ac:dyDescent="0.2">
      <c r="B40" s="2" t="s">
        <v>45</v>
      </c>
      <c r="C40" s="5"/>
      <c r="D40" s="3"/>
      <c r="E40" s="3"/>
      <c r="F40" s="4"/>
      <c r="G40" s="4"/>
      <c r="H40" s="4"/>
      <c r="I40" s="4"/>
      <c r="J40" s="4"/>
      <c r="K40" s="4"/>
      <c r="L40" s="8"/>
      <c r="M40" s="8"/>
      <c r="N40" s="8"/>
      <c r="O40" s="8"/>
      <c r="P40" s="8"/>
      <c r="Q40" s="8"/>
      <c r="R40" s="8"/>
      <c r="S40" s="8"/>
      <c r="T40" s="26"/>
      <c r="U40" s="26"/>
    </row>
    <row r="41" spans="1:21" x14ac:dyDescent="0.2">
      <c r="B41" s="18">
        <v>34</v>
      </c>
      <c r="C41" s="6" t="s">
        <v>46</v>
      </c>
      <c r="D41" s="7">
        <v>1326051</v>
      </c>
      <c r="E41" s="7">
        <v>0</v>
      </c>
      <c r="F41" s="8">
        <v>1094967</v>
      </c>
      <c r="G41" s="8">
        <v>8108053.4630000005</v>
      </c>
      <c r="H41" s="8">
        <v>3094806</v>
      </c>
      <c r="I41" s="8">
        <v>23604038.756000001</v>
      </c>
      <c r="J41" s="8">
        <v>0</v>
      </c>
      <c r="K41" s="8">
        <v>0</v>
      </c>
      <c r="L41" s="8">
        <f t="shared" si="0"/>
        <v>4189773</v>
      </c>
      <c r="M41" s="8">
        <f t="shared" si="1"/>
        <v>31712092.219000001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26">
        <f t="shared" si="2"/>
        <v>0</v>
      </c>
      <c r="U41" s="26">
        <f t="shared" si="3"/>
        <v>0</v>
      </c>
    </row>
    <row r="42" spans="1:21" x14ac:dyDescent="0.2">
      <c r="B42" s="18">
        <v>35</v>
      </c>
      <c r="C42" s="6" t="s">
        <v>47</v>
      </c>
      <c r="D42" s="7">
        <v>3</v>
      </c>
      <c r="E42" s="7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f t="shared" si="0"/>
        <v>0</v>
      </c>
      <c r="M42" s="8">
        <f t="shared" si="1"/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26">
        <f t="shared" si="2"/>
        <v>0</v>
      </c>
      <c r="U42" s="26">
        <f t="shared" si="3"/>
        <v>0</v>
      </c>
    </row>
    <row r="43" spans="1:21" x14ac:dyDescent="0.2">
      <c r="B43" s="18">
        <v>36</v>
      </c>
      <c r="C43" s="6" t="s">
        <v>48</v>
      </c>
      <c r="D43" s="7">
        <v>0</v>
      </c>
      <c r="E43" s="7">
        <v>890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f t="shared" si="0"/>
        <v>0</v>
      </c>
      <c r="M43" s="8">
        <f t="shared" si="1"/>
        <v>0</v>
      </c>
      <c r="N43" s="8">
        <v>18</v>
      </c>
      <c r="O43" s="8">
        <v>132.97994</v>
      </c>
      <c r="P43" s="8">
        <v>1</v>
      </c>
      <c r="Q43" s="8">
        <v>23</v>
      </c>
      <c r="R43" s="8">
        <v>0</v>
      </c>
      <c r="S43" s="8">
        <v>0</v>
      </c>
      <c r="T43" s="26">
        <f t="shared" si="2"/>
        <v>19</v>
      </c>
      <c r="U43" s="26">
        <f t="shared" si="3"/>
        <v>155.97994</v>
      </c>
    </row>
    <row r="44" spans="1:21" x14ac:dyDescent="0.2">
      <c r="B44" s="18">
        <v>37</v>
      </c>
      <c r="C44" s="6" t="s">
        <v>49</v>
      </c>
      <c r="D44" s="7">
        <v>2477654</v>
      </c>
      <c r="E44" s="7">
        <v>1237591</v>
      </c>
      <c r="F44" s="8">
        <v>8666792</v>
      </c>
      <c r="G44" s="8">
        <v>23629110.298840001</v>
      </c>
      <c r="H44" s="8">
        <v>2985272</v>
      </c>
      <c r="I44" s="8">
        <v>18167027.279909998</v>
      </c>
      <c r="J44" s="8">
        <v>0</v>
      </c>
      <c r="K44" s="8">
        <v>0</v>
      </c>
      <c r="L44" s="8">
        <f t="shared" si="0"/>
        <v>11652064</v>
      </c>
      <c r="M44" s="8">
        <f t="shared" si="1"/>
        <v>41796137.578749999</v>
      </c>
      <c r="N44" s="8">
        <v>723109</v>
      </c>
      <c r="O44" s="8">
        <v>1940295.0029500003</v>
      </c>
      <c r="P44" s="8">
        <v>770574</v>
      </c>
      <c r="Q44" s="8">
        <v>2601919.0627400004</v>
      </c>
      <c r="R44" s="8">
        <v>0</v>
      </c>
      <c r="S44" s="8">
        <v>0</v>
      </c>
      <c r="T44" s="26">
        <f t="shared" si="2"/>
        <v>1493683</v>
      </c>
      <c r="U44" s="26">
        <f t="shared" si="3"/>
        <v>4542214.0656900005</v>
      </c>
    </row>
    <row r="45" spans="1:21" x14ac:dyDescent="0.2">
      <c r="B45" s="18">
        <v>38</v>
      </c>
      <c r="C45" s="6" t="s">
        <v>50</v>
      </c>
      <c r="D45" s="7">
        <v>171575</v>
      </c>
      <c r="E45" s="7">
        <v>1841460</v>
      </c>
      <c r="F45" s="8">
        <v>199132</v>
      </c>
      <c r="G45" s="8">
        <v>733832.31918996689</v>
      </c>
      <c r="H45" s="8">
        <v>123739</v>
      </c>
      <c r="I45" s="8">
        <v>1048166.1024300058</v>
      </c>
      <c r="J45" s="8">
        <v>0</v>
      </c>
      <c r="K45" s="8">
        <v>0</v>
      </c>
      <c r="L45" s="8">
        <f t="shared" si="0"/>
        <v>322871</v>
      </c>
      <c r="M45" s="8">
        <f t="shared" si="1"/>
        <v>1781998.4216199727</v>
      </c>
      <c r="N45" s="8">
        <v>475765</v>
      </c>
      <c r="O45" s="8">
        <v>802631.00492000021</v>
      </c>
      <c r="P45" s="8">
        <v>140323</v>
      </c>
      <c r="Q45" s="8">
        <v>303198.32238999999</v>
      </c>
      <c r="R45" s="8">
        <v>0</v>
      </c>
      <c r="S45" s="8">
        <v>0</v>
      </c>
      <c r="T45" s="26">
        <f t="shared" si="2"/>
        <v>616088</v>
      </c>
      <c r="U45" s="26">
        <f t="shared" si="3"/>
        <v>1105829.3273100001</v>
      </c>
    </row>
    <row r="46" spans="1:21" x14ac:dyDescent="0.2">
      <c r="B46" s="18">
        <v>39</v>
      </c>
      <c r="C46" s="6" t="s">
        <v>51</v>
      </c>
      <c r="D46" s="7">
        <v>0</v>
      </c>
      <c r="E46" s="7">
        <v>116575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f t="shared" si="0"/>
        <v>0</v>
      </c>
      <c r="M46" s="8">
        <f t="shared" si="1"/>
        <v>0</v>
      </c>
      <c r="N46" s="8">
        <v>48637</v>
      </c>
      <c r="O46" s="8">
        <v>129075.139</v>
      </c>
      <c r="P46" s="8">
        <v>23217</v>
      </c>
      <c r="Q46" s="8">
        <v>69721.491299999994</v>
      </c>
      <c r="R46" s="8">
        <v>0</v>
      </c>
      <c r="S46" s="8">
        <v>0</v>
      </c>
      <c r="T46" s="26">
        <f t="shared" si="2"/>
        <v>71854</v>
      </c>
      <c r="U46" s="26">
        <f t="shared" si="3"/>
        <v>198796.63029999999</v>
      </c>
    </row>
    <row r="47" spans="1:21" x14ac:dyDescent="0.2">
      <c r="B47" s="18">
        <v>40</v>
      </c>
      <c r="C47" s="6" t="s">
        <v>52</v>
      </c>
      <c r="D47" s="7">
        <v>684237</v>
      </c>
      <c r="E47" s="7">
        <v>574279</v>
      </c>
      <c r="F47" s="8">
        <v>738636</v>
      </c>
      <c r="G47" s="8">
        <v>2437867.1667995378</v>
      </c>
      <c r="H47" s="8">
        <v>1045794</v>
      </c>
      <c r="I47" s="8">
        <v>4904598.3811102565</v>
      </c>
      <c r="J47" s="8">
        <v>0</v>
      </c>
      <c r="K47" s="8">
        <v>0</v>
      </c>
      <c r="L47" s="8">
        <f t="shared" si="0"/>
        <v>1784430</v>
      </c>
      <c r="M47" s="8">
        <f t="shared" si="1"/>
        <v>7342465.5479097944</v>
      </c>
      <c r="N47" s="8">
        <v>320258</v>
      </c>
      <c r="O47" s="8">
        <v>989933.31738999463</v>
      </c>
      <c r="P47" s="8">
        <v>0</v>
      </c>
      <c r="Q47" s="8">
        <v>0</v>
      </c>
      <c r="R47" s="8">
        <v>0</v>
      </c>
      <c r="S47" s="8">
        <v>0</v>
      </c>
      <c r="T47" s="26">
        <f t="shared" si="2"/>
        <v>320258</v>
      </c>
      <c r="U47" s="26">
        <f t="shared" si="3"/>
        <v>989933.31738999463</v>
      </c>
    </row>
    <row r="48" spans="1:21" s="24" customFormat="1" x14ac:dyDescent="0.2">
      <c r="A48" s="19"/>
      <c r="B48" s="20">
        <v>41</v>
      </c>
      <c r="C48" s="21" t="s">
        <v>53</v>
      </c>
      <c r="D48" s="22">
        <v>1003949</v>
      </c>
      <c r="E48" s="22">
        <v>535402</v>
      </c>
      <c r="F48" s="23">
        <v>492103</v>
      </c>
      <c r="G48" s="23">
        <v>1706836.5330000001</v>
      </c>
      <c r="H48" s="23">
        <v>1165679</v>
      </c>
      <c r="I48" s="23">
        <v>4123518.5279999999</v>
      </c>
      <c r="J48" s="23">
        <v>0</v>
      </c>
      <c r="K48" s="23">
        <v>0</v>
      </c>
      <c r="L48" s="8">
        <f t="shared" si="0"/>
        <v>1657782</v>
      </c>
      <c r="M48" s="8">
        <f t="shared" si="1"/>
        <v>5830355.0609999998</v>
      </c>
      <c r="N48" s="23">
        <v>52162</v>
      </c>
      <c r="O48" s="23">
        <v>83484.616999999998</v>
      </c>
      <c r="P48" s="23">
        <v>29496</v>
      </c>
      <c r="Q48" s="23">
        <v>105328.524</v>
      </c>
      <c r="R48" s="23">
        <v>0</v>
      </c>
      <c r="S48" s="23">
        <v>0</v>
      </c>
      <c r="T48" s="26">
        <f t="shared" si="2"/>
        <v>81658</v>
      </c>
      <c r="U48" s="26">
        <f t="shared" si="3"/>
        <v>188813.141</v>
      </c>
    </row>
    <row r="49" spans="1:21" x14ac:dyDescent="0.2">
      <c r="B49" s="18">
        <v>42</v>
      </c>
      <c r="C49" s="5" t="s">
        <v>54</v>
      </c>
      <c r="D49" s="7">
        <v>1066900</v>
      </c>
      <c r="E49" s="7">
        <v>1153786</v>
      </c>
      <c r="F49" s="8">
        <v>1526305</v>
      </c>
      <c r="G49" s="8">
        <v>4752186.966</v>
      </c>
      <c r="H49" s="8">
        <v>1383115</v>
      </c>
      <c r="I49" s="8">
        <v>6290158.3370000003</v>
      </c>
      <c r="J49" s="8">
        <v>0</v>
      </c>
      <c r="K49" s="8">
        <v>0</v>
      </c>
      <c r="L49" s="8">
        <f t="shared" si="0"/>
        <v>2909420</v>
      </c>
      <c r="M49" s="8">
        <f t="shared" si="1"/>
        <v>11042345.302999999</v>
      </c>
      <c r="N49" s="8">
        <v>958437</v>
      </c>
      <c r="O49" s="8">
        <v>2056326.203</v>
      </c>
      <c r="P49" s="8">
        <v>126914</v>
      </c>
      <c r="Q49" s="8">
        <v>608825.61300000001</v>
      </c>
      <c r="R49" s="8">
        <v>39</v>
      </c>
      <c r="S49" s="8">
        <v>632.69899999999996</v>
      </c>
      <c r="T49" s="26">
        <f t="shared" si="2"/>
        <v>1085390</v>
      </c>
      <c r="U49" s="26">
        <f t="shared" si="3"/>
        <v>2665784.5150000001</v>
      </c>
    </row>
    <row r="50" spans="1:21" x14ac:dyDescent="0.2">
      <c r="B50" s="18">
        <v>43</v>
      </c>
      <c r="C50" s="5" t="s">
        <v>55</v>
      </c>
      <c r="D50" s="7">
        <v>0</v>
      </c>
      <c r="E50" s="7">
        <v>949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f t="shared" si="0"/>
        <v>0</v>
      </c>
      <c r="M50" s="8">
        <f t="shared" si="1"/>
        <v>0</v>
      </c>
      <c r="N50" s="8">
        <v>4523</v>
      </c>
      <c r="O50" s="8">
        <v>13110.5728</v>
      </c>
      <c r="P50" s="8">
        <v>1386</v>
      </c>
      <c r="Q50" s="8">
        <v>5110.43246</v>
      </c>
      <c r="R50" s="8">
        <v>0</v>
      </c>
      <c r="S50" s="8">
        <v>0</v>
      </c>
      <c r="T50" s="26">
        <f t="shared" si="2"/>
        <v>5909</v>
      </c>
      <c r="U50" s="26">
        <f t="shared" si="3"/>
        <v>18221.005259999998</v>
      </c>
    </row>
    <row r="51" spans="1:21" s="17" customFormat="1" ht="12" x14ac:dyDescent="0.25">
      <c r="A51" s="16"/>
      <c r="B51" s="38" t="s">
        <v>56</v>
      </c>
      <c r="C51" s="39"/>
      <c r="D51" s="13">
        <f t="shared" ref="D51:K51" si="4">SUM(D6:D50)</f>
        <v>82033349</v>
      </c>
      <c r="E51" s="13">
        <f t="shared" si="4"/>
        <v>859660579</v>
      </c>
      <c r="F51" s="13">
        <f t="shared" si="4"/>
        <v>140317320</v>
      </c>
      <c r="G51" s="13">
        <f t="shared" si="4"/>
        <v>486012016.86968946</v>
      </c>
      <c r="H51" s="13">
        <f t="shared" si="4"/>
        <v>117722268</v>
      </c>
      <c r="I51" s="13">
        <f t="shared" si="4"/>
        <v>783178356.55246043</v>
      </c>
      <c r="J51" s="13">
        <f t="shared" si="4"/>
        <v>46</v>
      </c>
      <c r="K51" s="13">
        <f t="shared" si="4"/>
        <v>1500.0398</v>
      </c>
      <c r="L51" s="25">
        <f t="shared" si="0"/>
        <v>258039634</v>
      </c>
      <c r="M51" s="25">
        <f t="shared" si="1"/>
        <v>1269191873.4619498</v>
      </c>
      <c r="N51" s="13">
        <f t="shared" ref="N51:S51" si="5">SUM(N6:N50)</f>
        <v>172302234</v>
      </c>
      <c r="O51" s="13">
        <f t="shared" si="5"/>
        <v>371926339.34382993</v>
      </c>
      <c r="P51" s="13">
        <f t="shared" si="5"/>
        <v>73954603</v>
      </c>
      <c r="Q51" s="13">
        <f t="shared" si="5"/>
        <v>175314264.89449999</v>
      </c>
      <c r="R51" s="13">
        <f t="shared" si="5"/>
        <v>175744</v>
      </c>
      <c r="S51" s="13">
        <f t="shared" si="5"/>
        <v>2902805.2041700003</v>
      </c>
      <c r="T51" s="27">
        <f t="shared" si="2"/>
        <v>246432581</v>
      </c>
      <c r="U51" s="27">
        <f t="shared" si="3"/>
        <v>550143409.44249988</v>
      </c>
    </row>
    <row r="52" spans="1:21" s="17" customFormat="1" ht="12.75" customHeight="1" x14ac:dyDescent="0.25">
      <c r="A52" s="16"/>
      <c r="B52" s="2"/>
      <c r="C52" s="5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</sheetData>
  <mergeCells count="18">
    <mergeCell ref="B51:C51"/>
    <mergeCell ref="B1:B4"/>
    <mergeCell ref="C1:C4"/>
    <mergeCell ref="D1:E1"/>
    <mergeCell ref="D2:D4"/>
    <mergeCell ref="E2:E4"/>
    <mergeCell ref="T3:U3"/>
    <mergeCell ref="N1:U1"/>
    <mergeCell ref="N2:U2"/>
    <mergeCell ref="F1:M1"/>
    <mergeCell ref="F2:M2"/>
    <mergeCell ref="F3:G3"/>
    <mergeCell ref="H3:I3"/>
    <mergeCell ref="J3:K3"/>
    <mergeCell ref="N3:O3"/>
    <mergeCell ref="P3:Q3"/>
    <mergeCell ref="R3:S3"/>
    <mergeCell ref="L3:M3"/>
  </mergeCells>
  <pageMargins left="7.874015748031496E-2" right="3.937007874015748E-2" top="0.11811023622047245" bottom="7.874015748031496E-2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January-23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Manas</cp:lastModifiedBy>
  <cp:lastPrinted>2023-05-18T14:39:24Z</cp:lastPrinted>
  <dcterms:created xsi:type="dcterms:W3CDTF">2023-03-16T10:36:17Z</dcterms:created>
  <dcterms:modified xsi:type="dcterms:W3CDTF">2023-07-18T15:28:42Z</dcterms:modified>
</cp:coreProperties>
</file>