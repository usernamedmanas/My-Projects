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94F21F43-D81F-4D50-ACA1-5A9E015144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uly 2022 (Revised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U6" i="1"/>
  <c r="T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M6" i="1"/>
  <c r="L6" i="1"/>
  <c r="S48" i="1"/>
  <c r="R48" i="1"/>
  <c r="Q48" i="1"/>
  <c r="P48" i="1"/>
  <c r="O48" i="1"/>
  <c r="N48" i="1"/>
  <c r="K48" i="1"/>
  <c r="J48" i="1"/>
  <c r="I48" i="1"/>
  <c r="H48" i="1"/>
  <c r="G48" i="1"/>
  <c r="F48" i="1"/>
  <c r="E48" i="1"/>
  <c r="D48" i="1"/>
  <c r="S47" i="1"/>
  <c r="R47" i="1"/>
  <c r="Q47" i="1"/>
  <c r="P47" i="1"/>
  <c r="O47" i="1"/>
  <c r="N47" i="1"/>
  <c r="K47" i="1"/>
  <c r="J47" i="1"/>
  <c r="I47" i="1"/>
  <c r="H47" i="1"/>
  <c r="G47" i="1"/>
  <c r="F47" i="1"/>
  <c r="E47" i="1"/>
  <c r="D47" i="1"/>
  <c r="S46" i="1"/>
  <c r="R46" i="1"/>
  <c r="Q46" i="1"/>
  <c r="P46" i="1"/>
  <c r="O46" i="1"/>
  <c r="N46" i="1"/>
  <c r="K46" i="1"/>
  <c r="J46" i="1"/>
  <c r="I46" i="1"/>
  <c r="H46" i="1"/>
  <c r="G46" i="1"/>
  <c r="F46" i="1"/>
  <c r="E46" i="1"/>
  <c r="D46" i="1"/>
  <c r="S45" i="1"/>
  <c r="R45" i="1"/>
  <c r="Q45" i="1"/>
  <c r="P45" i="1"/>
  <c r="O45" i="1"/>
  <c r="N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K43" i="1"/>
  <c r="J43" i="1"/>
  <c r="I43" i="1"/>
  <c r="H43" i="1"/>
  <c r="G43" i="1"/>
  <c r="F43" i="1"/>
  <c r="E43" i="1"/>
  <c r="D43" i="1"/>
  <c r="S42" i="1"/>
  <c r="R42" i="1"/>
  <c r="Q42" i="1"/>
  <c r="P42" i="1"/>
  <c r="O42" i="1"/>
  <c r="N42" i="1"/>
  <c r="K42" i="1"/>
  <c r="J42" i="1"/>
  <c r="I42" i="1"/>
  <c r="H42" i="1"/>
  <c r="G42" i="1"/>
  <c r="F42" i="1"/>
  <c r="E42" i="1"/>
  <c r="D42" i="1"/>
  <c r="S41" i="1"/>
  <c r="R41" i="1"/>
  <c r="Q41" i="1"/>
  <c r="P41" i="1"/>
  <c r="O41" i="1"/>
  <c r="N41" i="1"/>
  <c r="K41" i="1"/>
  <c r="J41" i="1"/>
  <c r="I41" i="1"/>
  <c r="H41" i="1"/>
  <c r="G41" i="1"/>
  <c r="F41" i="1"/>
  <c r="E41" i="1"/>
  <c r="D41" i="1"/>
  <c r="S40" i="1"/>
  <c r="R40" i="1"/>
  <c r="Q40" i="1"/>
  <c r="P40" i="1"/>
  <c r="O40" i="1"/>
  <c r="N40" i="1"/>
  <c r="K40" i="1"/>
  <c r="J40" i="1"/>
  <c r="I40" i="1"/>
  <c r="H40" i="1"/>
  <c r="G40" i="1"/>
  <c r="F40" i="1"/>
  <c r="E40" i="1"/>
  <c r="D40" i="1"/>
  <c r="S38" i="1"/>
  <c r="R38" i="1"/>
  <c r="K38" i="1"/>
  <c r="J38" i="1"/>
  <c r="I38" i="1"/>
  <c r="H38" i="1"/>
  <c r="G38" i="1"/>
  <c r="F38" i="1"/>
  <c r="E38" i="1"/>
  <c r="D38" i="1"/>
  <c r="S37" i="1"/>
  <c r="R37" i="1"/>
  <c r="Q37" i="1"/>
  <c r="P37" i="1"/>
  <c r="O37" i="1"/>
  <c r="N37" i="1"/>
  <c r="K37" i="1"/>
  <c r="J37" i="1"/>
  <c r="I37" i="1"/>
  <c r="H37" i="1"/>
  <c r="G37" i="1"/>
  <c r="F37" i="1"/>
  <c r="E37" i="1"/>
  <c r="D37" i="1"/>
  <c r="S36" i="1"/>
  <c r="R36" i="1"/>
  <c r="Q36" i="1"/>
  <c r="P36" i="1"/>
  <c r="O36" i="1"/>
  <c r="N36" i="1"/>
  <c r="K36" i="1"/>
  <c r="J36" i="1"/>
  <c r="I36" i="1"/>
  <c r="H36" i="1"/>
  <c r="G36" i="1"/>
  <c r="F36" i="1"/>
  <c r="E36" i="1"/>
  <c r="D36" i="1"/>
  <c r="S35" i="1"/>
  <c r="R35" i="1"/>
  <c r="Q35" i="1"/>
  <c r="P35" i="1"/>
  <c r="O35" i="1"/>
  <c r="N35" i="1"/>
  <c r="K35" i="1"/>
  <c r="J35" i="1"/>
  <c r="I35" i="1"/>
  <c r="H35" i="1"/>
  <c r="G35" i="1"/>
  <c r="F35" i="1"/>
  <c r="E35" i="1"/>
  <c r="D35" i="1"/>
  <c r="S34" i="1"/>
  <c r="R34" i="1"/>
  <c r="Q34" i="1"/>
  <c r="P34" i="1"/>
  <c r="O34" i="1"/>
  <c r="N34" i="1"/>
  <c r="K34" i="1"/>
  <c r="J34" i="1"/>
  <c r="I34" i="1"/>
  <c r="H34" i="1"/>
  <c r="G34" i="1"/>
  <c r="F34" i="1"/>
  <c r="E34" i="1"/>
  <c r="D34" i="1"/>
  <c r="S33" i="1"/>
  <c r="R33" i="1"/>
  <c r="Q33" i="1"/>
  <c r="P33" i="1"/>
  <c r="O33" i="1"/>
  <c r="N33" i="1"/>
  <c r="K33" i="1"/>
  <c r="J33" i="1"/>
  <c r="I33" i="1"/>
  <c r="H33" i="1"/>
  <c r="G33" i="1"/>
  <c r="F33" i="1"/>
  <c r="E33" i="1"/>
  <c r="D33" i="1"/>
  <c r="S32" i="1"/>
  <c r="R32" i="1"/>
  <c r="Q32" i="1"/>
  <c r="P32" i="1"/>
  <c r="O32" i="1"/>
  <c r="N32" i="1"/>
  <c r="K32" i="1"/>
  <c r="J32" i="1"/>
  <c r="I32" i="1"/>
  <c r="H32" i="1"/>
  <c r="G32" i="1"/>
  <c r="F32" i="1"/>
  <c r="E32" i="1"/>
  <c r="D32" i="1"/>
  <c r="S31" i="1"/>
  <c r="R31" i="1"/>
  <c r="Q31" i="1"/>
  <c r="P31" i="1"/>
  <c r="O31" i="1"/>
  <c r="N31" i="1"/>
  <c r="K31" i="1"/>
  <c r="J31" i="1"/>
  <c r="I31" i="1"/>
  <c r="H31" i="1"/>
  <c r="G31" i="1"/>
  <c r="F31" i="1"/>
  <c r="E31" i="1"/>
  <c r="D31" i="1"/>
  <c r="S30" i="1"/>
  <c r="R30" i="1"/>
  <c r="Q30" i="1"/>
  <c r="P30" i="1"/>
  <c r="O30" i="1"/>
  <c r="N30" i="1"/>
  <c r="K30" i="1"/>
  <c r="J30" i="1"/>
  <c r="I30" i="1"/>
  <c r="H30" i="1"/>
  <c r="G30" i="1"/>
  <c r="F30" i="1"/>
  <c r="E30" i="1"/>
  <c r="D30" i="1"/>
  <c r="S29" i="1"/>
  <c r="R29" i="1"/>
  <c r="Q29" i="1"/>
  <c r="P29" i="1"/>
  <c r="O29" i="1"/>
  <c r="N29" i="1"/>
  <c r="K29" i="1"/>
  <c r="J29" i="1"/>
  <c r="I29" i="1"/>
  <c r="H29" i="1"/>
  <c r="G29" i="1"/>
  <c r="F29" i="1"/>
  <c r="E29" i="1"/>
  <c r="D29" i="1"/>
  <c r="S28" i="1"/>
  <c r="R28" i="1"/>
  <c r="Q28" i="1"/>
  <c r="P28" i="1"/>
  <c r="O28" i="1"/>
  <c r="N28" i="1"/>
  <c r="K28" i="1"/>
  <c r="J28" i="1"/>
  <c r="I28" i="1"/>
  <c r="H28" i="1"/>
  <c r="G28" i="1"/>
  <c r="F28" i="1"/>
  <c r="E28" i="1"/>
  <c r="D28" i="1"/>
  <c r="S27" i="1"/>
  <c r="R27" i="1"/>
  <c r="Q27" i="1"/>
  <c r="P27" i="1"/>
  <c r="O27" i="1"/>
  <c r="N27" i="1"/>
  <c r="K27" i="1"/>
  <c r="J27" i="1"/>
  <c r="I27" i="1"/>
  <c r="H27" i="1"/>
  <c r="G27" i="1"/>
  <c r="F27" i="1"/>
  <c r="E27" i="1"/>
  <c r="D27" i="1"/>
  <c r="S26" i="1"/>
  <c r="R26" i="1"/>
  <c r="Q26" i="1"/>
  <c r="P26" i="1"/>
  <c r="O26" i="1"/>
  <c r="N26" i="1"/>
  <c r="K26" i="1"/>
  <c r="J26" i="1"/>
  <c r="I26" i="1"/>
  <c r="H26" i="1"/>
  <c r="G26" i="1"/>
  <c r="F26" i="1"/>
  <c r="E26" i="1"/>
  <c r="D26" i="1"/>
  <c r="S25" i="1"/>
  <c r="R25" i="1"/>
  <c r="Q25" i="1"/>
  <c r="P25" i="1"/>
  <c r="O25" i="1"/>
  <c r="N25" i="1"/>
  <c r="K25" i="1"/>
  <c r="J25" i="1"/>
  <c r="I25" i="1"/>
  <c r="H25" i="1"/>
  <c r="G25" i="1"/>
  <c r="F25" i="1"/>
  <c r="E25" i="1"/>
  <c r="D25" i="1"/>
  <c r="S24" i="1"/>
  <c r="R24" i="1"/>
  <c r="Q24" i="1"/>
  <c r="P24" i="1"/>
  <c r="O24" i="1"/>
  <c r="N24" i="1"/>
  <c r="K24" i="1"/>
  <c r="J24" i="1"/>
  <c r="I24" i="1"/>
  <c r="H24" i="1"/>
  <c r="G24" i="1"/>
  <c r="F24" i="1"/>
  <c r="E24" i="1"/>
  <c r="D24" i="1"/>
  <c r="S23" i="1"/>
  <c r="R23" i="1"/>
  <c r="Q23" i="1"/>
  <c r="P23" i="1"/>
  <c r="O23" i="1"/>
  <c r="N23" i="1"/>
  <c r="K23" i="1"/>
  <c r="J23" i="1"/>
  <c r="I23" i="1"/>
  <c r="H23" i="1"/>
  <c r="G23" i="1"/>
  <c r="F23" i="1"/>
  <c r="E23" i="1"/>
  <c r="D23" i="1"/>
  <c r="S22" i="1"/>
  <c r="R22" i="1"/>
  <c r="Q22" i="1"/>
  <c r="P22" i="1"/>
  <c r="O22" i="1"/>
  <c r="N22" i="1"/>
  <c r="K22" i="1"/>
  <c r="J22" i="1"/>
  <c r="I22" i="1"/>
  <c r="H22" i="1"/>
  <c r="G22" i="1"/>
  <c r="F22" i="1"/>
  <c r="E22" i="1"/>
  <c r="D22" i="1"/>
  <c r="S21" i="1"/>
  <c r="R21" i="1"/>
  <c r="Q21" i="1"/>
  <c r="P21" i="1"/>
  <c r="O21" i="1"/>
  <c r="N21" i="1"/>
  <c r="K21" i="1"/>
  <c r="J21" i="1"/>
  <c r="I21" i="1"/>
  <c r="H21" i="1"/>
  <c r="G21" i="1"/>
  <c r="F21" i="1"/>
  <c r="E21" i="1"/>
  <c r="D21" i="1"/>
  <c r="S20" i="1"/>
  <c r="R20" i="1"/>
  <c r="Q20" i="1"/>
  <c r="P20" i="1"/>
  <c r="O20" i="1"/>
  <c r="N20" i="1"/>
  <c r="K20" i="1"/>
  <c r="J20" i="1"/>
  <c r="I20" i="1"/>
  <c r="H20" i="1"/>
  <c r="G20" i="1"/>
  <c r="F20" i="1"/>
  <c r="E20" i="1"/>
  <c r="D20" i="1"/>
  <c r="S19" i="1"/>
  <c r="R19" i="1"/>
  <c r="Q19" i="1"/>
  <c r="P19" i="1"/>
  <c r="O19" i="1"/>
  <c r="N19" i="1"/>
  <c r="K19" i="1"/>
  <c r="J19" i="1"/>
  <c r="I19" i="1"/>
  <c r="H19" i="1"/>
  <c r="G19" i="1"/>
  <c r="F19" i="1"/>
  <c r="E19" i="1"/>
  <c r="D19" i="1"/>
  <c r="S17" i="1"/>
  <c r="R17" i="1"/>
  <c r="Q17" i="1"/>
  <c r="P17" i="1"/>
  <c r="O17" i="1"/>
  <c r="N17" i="1"/>
  <c r="K17" i="1"/>
  <c r="J17" i="1"/>
  <c r="I17" i="1"/>
  <c r="H17" i="1"/>
  <c r="G17" i="1"/>
  <c r="F17" i="1"/>
  <c r="E17" i="1"/>
  <c r="D17" i="1"/>
  <c r="S16" i="1"/>
  <c r="R16" i="1"/>
  <c r="Q16" i="1"/>
  <c r="P16" i="1"/>
  <c r="O16" i="1"/>
  <c r="N16" i="1"/>
  <c r="K16" i="1"/>
  <c r="J16" i="1"/>
  <c r="I16" i="1"/>
  <c r="H16" i="1"/>
  <c r="G16" i="1"/>
  <c r="F16" i="1"/>
  <c r="E16" i="1"/>
  <c r="D16" i="1"/>
  <c r="S15" i="1"/>
  <c r="R15" i="1"/>
  <c r="Q15" i="1"/>
  <c r="P15" i="1"/>
  <c r="O15" i="1"/>
  <c r="N15" i="1"/>
  <c r="K15" i="1"/>
  <c r="J15" i="1"/>
  <c r="I15" i="1"/>
  <c r="H15" i="1"/>
  <c r="G15" i="1"/>
  <c r="F15" i="1"/>
  <c r="E15" i="1"/>
  <c r="D15" i="1"/>
  <c r="S14" i="1"/>
  <c r="R14" i="1"/>
  <c r="Q14" i="1"/>
  <c r="P14" i="1"/>
  <c r="O14" i="1"/>
  <c r="N14" i="1"/>
  <c r="K14" i="1"/>
  <c r="J14" i="1"/>
  <c r="I14" i="1"/>
  <c r="H14" i="1"/>
  <c r="G14" i="1"/>
  <c r="F14" i="1"/>
  <c r="E14" i="1"/>
  <c r="D14" i="1"/>
  <c r="S13" i="1"/>
  <c r="R13" i="1"/>
  <c r="Q13" i="1"/>
  <c r="P13" i="1"/>
  <c r="O13" i="1"/>
  <c r="N13" i="1"/>
  <c r="K13" i="1"/>
  <c r="J13" i="1"/>
  <c r="I13" i="1"/>
  <c r="H13" i="1"/>
  <c r="G13" i="1"/>
  <c r="F13" i="1"/>
  <c r="E13" i="1"/>
  <c r="D13" i="1"/>
  <c r="S12" i="1"/>
  <c r="R12" i="1"/>
  <c r="Q12" i="1"/>
  <c r="P12" i="1"/>
  <c r="O12" i="1"/>
  <c r="N12" i="1"/>
  <c r="K12" i="1"/>
  <c r="J12" i="1"/>
  <c r="I12" i="1"/>
  <c r="H12" i="1"/>
  <c r="G12" i="1"/>
  <c r="F12" i="1"/>
  <c r="E12" i="1"/>
  <c r="D12" i="1"/>
  <c r="S11" i="1"/>
  <c r="R11" i="1"/>
  <c r="Q11" i="1"/>
  <c r="P11" i="1"/>
  <c r="O11" i="1"/>
  <c r="N11" i="1"/>
  <c r="K11" i="1"/>
  <c r="J11" i="1"/>
  <c r="I11" i="1"/>
  <c r="H11" i="1"/>
  <c r="G11" i="1"/>
  <c r="F11" i="1"/>
  <c r="E11" i="1"/>
  <c r="D11" i="1"/>
  <c r="S10" i="1"/>
  <c r="R10" i="1"/>
  <c r="Q10" i="1"/>
  <c r="P10" i="1"/>
  <c r="O10" i="1"/>
  <c r="N10" i="1"/>
  <c r="K10" i="1"/>
  <c r="J10" i="1"/>
  <c r="I10" i="1"/>
  <c r="H10" i="1"/>
  <c r="G10" i="1"/>
  <c r="F10" i="1"/>
  <c r="E10" i="1"/>
  <c r="D10" i="1"/>
  <c r="S9" i="1"/>
  <c r="R9" i="1"/>
  <c r="Q9" i="1"/>
  <c r="P9" i="1"/>
  <c r="O9" i="1"/>
  <c r="N9" i="1"/>
  <c r="K9" i="1"/>
  <c r="J9" i="1"/>
  <c r="I9" i="1"/>
  <c r="H9" i="1"/>
  <c r="G9" i="1"/>
  <c r="F9" i="1"/>
  <c r="E9" i="1"/>
  <c r="D9" i="1"/>
  <c r="S8" i="1"/>
  <c r="R8" i="1"/>
  <c r="Q8" i="1"/>
  <c r="P8" i="1"/>
  <c r="O8" i="1"/>
  <c r="N8" i="1"/>
  <c r="K8" i="1"/>
  <c r="J8" i="1"/>
  <c r="I8" i="1"/>
  <c r="H8" i="1"/>
  <c r="G8" i="1"/>
  <c r="F8" i="1"/>
  <c r="E8" i="1"/>
  <c r="D8" i="1"/>
  <c r="S7" i="1"/>
  <c r="R7" i="1"/>
  <c r="Q7" i="1"/>
  <c r="P7" i="1"/>
  <c r="O7" i="1"/>
  <c r="N7" i="1"/>
  <c r="K7" i="1"/>
  <c r="J7" i="1"/>
  <c r="I7" i="1"/>
  <c r="H7" i="1"/>
  <c r="G7" i="1"/>
  <c r="F7" i="1"/>
  <c r="E7" i="1"/>
  <c r="D7" i="1"/>
  <c r="S6" i="1"/>
  <c r="R6" i="1"/>
  <c r="Q6" i="1"/>
  <c r="P6" i="1"/>
  <c r="O6" i="1"/>
  <c r="N6" i="1"/>
  <c r="K6" i="1"/>
  <c r="J6" i="1"/>
  <c r="I6" i="1"/>
  <c r="H6" i="1"/>
  <c r="G6" i="1"/>
  <c r="F6" i="1"/>
  <c r="E6" i="1"/>
  <c r="D6" i="1"/>
  <c r="O49" i="1" l="1"/>
  <c r="I49" i="1"/>
  <c r="N49" i="1"/>
  <c r="P49" i="1"/>
  <c r="R49" i="1"/>
  <c r="E49" i="1"/>
  <c r="Q49" i="1"/>
  <c r="S49" i="1"/>
  <c r="D49" i="1"/>
  <c r="H49" i="1"/>
  <c r="F49" i="1"/>
  <c r="K49" i="1"/>
  <c r="G49" i="1"/>
  <c r="J49" i="1"/>
</calcChain>
</file>

<file path=xl/sharedStrings.xml><?xml version="1.0" encoding="utf-8"?>
<sst xmlns="http://schemas.openxmlformats.org/spreadsheetml/2006/main" count="76" uniqueCount="56">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</sst>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/>
      <protection locked="0"/>
    </xf>
    <xf numFmtId="1" fontId="5" fillId="2" borderId="3" xfId="0" applyNumberFormat="1" applyFont="1" applyFill="1" applyBorder="1"/>
    <xf numFmtId="0" fontId="5" fillId="2" borderId="3" xfId="0" applyFont="1" applyFill="1" applyBorder="1" applyAlignment="1" applyProtection="1">
      <alignment horizontal="left"/>
      <protection locked="0"/>
    </xf>
    <xf numFmtId="0" fontId="4" fillId="2" borderId="3" xfId="0" applyFont="1" applyFill="1" applyBorder="1" applyAlignment="1" applyProtection="1">
      <alignment vertical="center"/>
      <protection locked="0"/>
    </xf>
    <xf numFmtId="1" fontId="4" fillId="2" borderId="3" xfId="0" applyNumberFormat="1" applyFont="1" applyFill="1" applyBorder="1" applyAlignment="1">
      <alignment horizontal="right" vertical="center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3" xfId="0" applyFont="1" applyFill="1" applyBorder="1" applyProtection="1"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1" fontId="4" fillId="2" borderId="3" xfId="0" applyNumberFormat="1" applyFont="1" applyFill="1" applyBorder="1"/>
    <xf numFmtId="1" fontId="5" fillId="2" borderId="0" xfId="0" applyNumberFormat="1" applyFont="1" applyFill="1"/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BI\Card%20Statistics\Data\2022%20July\2022%20July%20Cards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2022 (Revised)"/>
      <sheetName val="Interim Data-Current Month"/>
      <sheetName val="Regular Data-Current Month"/>
      <sheetName val="Inconsistency"/>
      <sheetName val="Difference in %"/>
      <sheetName val="Difference in Actual"/>
      <sheetName val="Bankwise Variation"/>
      <sheetName val="Variation Table "/>
      <sheetName val="Bulletin Format"/>
      <sheetName val="For Website "/>
      <sheetName val="Bulletin Vs Website"/>
      <sheetName val="DPSS_CISBI"/>
      <sheetName val="Website M-O-M"/>
      <sheetName val="Interim Data-Previous Month"/>
      <sheetName val="Data Revision"/>
      <sheetName val="For Website Previous Month"/>
    </sheetNames>
    <sheetDataSet>
      <sheetData sheetId="0">
        <row r="7">
          <cell r="C7" t="str">
            <v>BANK OF INDIA</v>
          </cell>
          <cell r="D7">
            <v>161832</v>
          </cell>
          <cell r="J7">
            <v>0</v>
          </cell>
          <cell r="K7">
            <v>0</v>
          </cell>
          <cell r="L7">
            <v>247491</v>
          </cell>
          <cell r="M7">
            <v>789773.45007000002</v>
          </cell>
          <cell r="N7">
            <v>4755844</v>
          </cell>
          <cell r="O7">
            <v>8048259.1480100006</v>
          </cell>
          <cell r="P7">
            <v>2760930</v>
          </cell>
          <cell r="Q7">
            <v>3697356.0625300002</v>
          </cell>
          <cell r="T7">
            <v>7516774</v>
          </cell>
          <cell r="U7">
            <v>11745615.21054</v>
          </cell>
        </row>
        <row r="8">
          <cell r="C8" t="str">
            <v>BANK OF MAHARASHTRA</v>
          </cell>
          <cell r="D8">
            <v>76761</v>
          </cell>
          <cell r="J8">
            <v>0</v>
          </cell>
          <cell r="K8">
            <v>0</v>
          </cell>
          <cell r="L8">
            <v>79760</v>
          </cell>
          <cell r="M8">
            <v>328788.54210000002</v>
          </cell>
          <cell r="N8">
            <v>2377708</v>
          </cell>
          <cell r="O8">
            <v>3483841.8160000001</v>
          </cell>
          <cell r="P8">
            <v>1062916</v>
          </cell>
          <cell r="Q8">
            <v>1492120.422</v>
          </cell>
          <cell r="T8">
            <v>3449433</v>
          </cell>
          <cell r="U8">
            <v>5072637.4118999997</v>
          </cell>
        </row>
        <row r="9">
          <cell r="C9" t="str">
            <v>CANARA BANK</v>
          </cell>
          <cell r="D9">
            <v>913399</v>
          </cell>
          <cell r="J9">
            <v>0</v>
          </cell>
          <cell r="K9">
            <v>0</v>
          </cell>
          <cell r="L9">
            <v>974364</v>
          </cell>
          <cell r="M9">
            <v>2808209.1971500004</v>
          </cell>
          <cell r="N9">
            <v>9643828</v>
          </cell>
          <cell r="O9">
            <v>18907587.06611</v>
          </cell>
          <cell r="P9">
            <v>3901673</v>
          </cell>
          <cell r="Q9">
            <v>7081912.42141</v>
          </cell>
          <cell r="T9">
            <v>13549888</v>
          </cell>
          <cell r="U9">
            <v>26056595.900520001</v>
          </cell>
        </row>
        <row r="10">
          <cell r="C10" t="str">
            <v>CENTRAL BANK OF INDIA</v>
          </cell>
          <cell r="D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2788601</v>
          </cell>
          <cell r="O10">
            <v>5735353.5539999995</v>
          </cell>
          <cell r="P10">
            <v>779735</v>
          </cell>
          <cell r="Q10">
            <v>1416751.35</v>
          </cell>
          <cell r="T10">
            <v>3568336</v>
          </cell>
          <cell r="U10">
            <v>7152104.9039999992</v>
          </cell>
        </row>
        <row r="11">
          <cell r="C11" t="str">
            <v>INDIAN BANK</v>
          </cell>
          <cell r="D11">
            <v>157121</v>
          </cell>
          <cell r="J11">
            <v>0</v>
          </cell>
          <cell r="K11">
            <v>0</v>
          </cell>
          <cell r="L11">
            <v>199219</v>
          </cell>
          <cell r="M11">
            <v>686113.41200000001</v>
          </cell>
          <cell r="N11">
            <v>5885682</v>
          </cell>
          <cell r="O11">
            <v>10751459.102</v>
          </cell>
          <cell r="P11">
            <v>2777357</v>
          </cell>
          <cell r="Q11">
            <v>4217590.5290000001</v>
          </cell>
          <cell r="T11">
            <v>8668019</v>
          </cell>
          <cell r="U11">
            <v>15043640.242780002</v>
          </cell>
        </row>
        <row r="12">
          <cell r="C12" t="str">
            <v>INDIAN OVERSEAS BANK</v>
          </cell>
          <cell r="D12">
            <v>78878</v>
          </cell>
          <cell r="J12">
            <v>0</v>
          </cell>
          <cell r="K12">
            <v>0</v>
          </cell>
          <cell r="L12">
            <v>86192</v>
          </cell>
          <cell r="M12">
            <v>217620.89300000001</v>
          </cell>
          <cell r="N12">
            <v>3764432</v>
          </cell>
          <cell r="O12">
            <v>6702438.5863500005</v>
          </cell>
          <cell r="P12">
            <v>1121903</v>
          </cell>
          <cell r="Q12">
            <v>1880929.0744100001</v>
          </cell>
          <cell r="T12">
            <v>4886335</v>
          </cell>
          <cell r="U12">
            <v>8583367.6607600003</v>
          </cell>
        </row>
        <row r="13">
          <cell r="C13" t="str">
            <v>PUNJAB AND SIND BANK</v>
          </cell>
          <cell r="D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553806</v>
          </cell>
          <cell r="O13">
            <v>1111026.3974200001</v>
          </cell>
          <cell r="P13">
            <v>347351</v>
          </cell>
          <cell r="Q13">
            <v>773234.96325000003</v>
          </cell>
          <cell r="T13">
            <v>901157</v>
          </cell>
          <cell r="U13">
            <v>1884261.3606700001</v>
          </cell>
        </row>
        <row r="14">
          <cell r="C14" t="str">
            <v>PUNJAB NATIONAL BANK</v>
          </cell>
          <cell r="D14">
            <v>334350</v>
          </cell>
          <cell r="J14">
            <v>0</v>
          </cell>
          <cell r="K14">
            <v>0</v>
          </cell>
          <cell r="L14">
            <v>606048</v>
          </cell>
          <cell r="M14">
            <v>1912138.5174</v>
          </cell>
          <cell r="N14">
            <v>8318698</v>
          </cell>
          <cell r="O14">
            <v>16578987.586610001</v>
          </cell>
          <cell r="P14">
            <v>5097474</v>
          </cell>
          <cell r="Q14">
            <v>8974772.0460000001</v>
          </cell>
          <cell r="T14">
            <v>13416172</v>
          </cell>
          <cell r="U14">
            <v>25553759.632610001</v>
          </cell>
        </row>
        <row r="15">
          <cell r="C15" t="str">
            <v>STATE BANK OF INDIA</v>
          </cell>
          <cell r="D15">
            <v>14534667</v>
          </cell>
          <cell r="J15">
            <v>0</v>
          </cell>
          <cell r="K15">
            <v>0</v>
          </cell>
          <cell r="L15">
            <v>41808171</v>
          </cell>
          <cell r="M15">
            <v>193677739.61000001</v>
          </cell>
          <cell r="N15">
            <v>58908663</v>
          </cell>
          <cell r="O15">
            <v>115134647.98225001</v>
          </cell>
          <cell r="P15">
            <v>29102002</v>
          </cell>
          <cell r="Q15">
            <v>51503012.101790003</v>
          </cell>
          <cell r="T15">
            <v>88012700</v>
          </cell>
          <cell r="U15">
            <v>166662759.91062</v>
          </cell>
        </row>
        <row r="16">
          <cell r="C16" t="str">
            <v>UCO BANK</v>
          </cell>
          <cell r="D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1918027</v>
          </cell>
          <cell r="O16">
            <v>3548020.2</v>
          </cell>
          <cell r="P16">
            <v>1015585</v>
          </cell>
          <cell r="Q16">
            <v>1745968.2350000001</v>
          </cell>
          <cell r="T16">
            <v>2934883</v>
          </cell>
          <cell r="U16">
            <v>5312326.9510000004</v>
          </cell>
        </row>
        <row r="17">
          <cell r="C17" t="str">
            <v>UNION BANK OF INDIA</v>
          </cell>
          <cell r="D17">
            <v>560409</v>
          </cell>
          <cell r="J17">
            <v>0</v>
          </cell>
          <cell r="K17">
            <v>0</v>
          </cell>
          <cell r="L17">
            <v>737289</v>
          </cell>
          <cell r="M17">
            <v>2499967.5032700002</v>
          </cell>
          <cell r="N17">
            <v>10446474</v>
          </cell>
          <cell r="O17">
            <v>17968749.789999999</v>
          </cell>
          <cell r="P17">
            <v>6589816</v>
          </cell>
          <cell r="Q17">
            <v>10497583.561000001</v>
          </cell>
          <cell r="T17">
            <v>17038547</v>
          </cell>
          <cell r="U17">
            <v>28474537.225000001</v>
          </cell>
        </row>
        <row r="18">
          <cell r="C18"/>
          <cell r="D18"/>
          <cell r="J18"/>
          <cell r="K18"/>
          <cell r="L18"/>
          <cell r="M18"/>
          <cell r="N18"/>
          <cell r="O18"/>
          <cell r="P18"/>
          <cell r="Q18"/>
          <cell r="T18"/>
          <cell r="U18"/>
        </row>
        <row r="19">
          <cell r="C19" t="str">
            <v>AXIS BANK LTD</v>
          </cell>
          <cell r="D19">
            <v>9932333</v>
          </cell>
          <cell r="J19">
            <v>0</v>
          </cell>
          <cell r="K19">
            <v>0</v>
          </cell>
          <cell r="L19">
            <v>26710455</v>
          </cell>
          <cell r="M19">
            <v>100652337.38800001</v>
          </cell>
          <cell r="N19">
            <v>12178597</v>
          </cell>
          <cell r="O19">
            <v>27115687.844999999</v>
          </cell>
          <cell r="P19">
            <v>5705569</v>
          </cell>
          <cell r="Q19">
            <v>17532249.528000001</v>
          </cell>
          <cell r="T19">
            <v>17904850</v>
          </cell>
          <cell r="U19">
            <v>45159457.959939994</v>
          </cell>
        </row>
        <row r="20">
          <cell r="C20" t="str">
            <v>BANDHAN BANK LTD</v>
          </cell>
          <cell r="D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564058</v>
          </cell>
          <cell r="O20">
            <v>1268998.63579</v>
          </cell>
          <cell r="P20">
            <v>306908</v>
          </cell>
          <cell r="Q20">
            <v>756678.65638000006</v>
          </cell>
          <cell r="T20">
            <v>870966</v>
          </cell>
          <cell r="U20">
            <v>2025677.29217</v>
          </cell>
        </row>
        <row r="21">
          <cell r="C21" t="str">
            <v>CITY UNION BANK LTD.</v>
          </cell>
          <cell r="D21">
            <v>1671</v>
          </cell>
          <cell r="J21">
            <v>0</v>
          </cell>
          <cell r="K21">
            <v>0</v>
          </cell>
          <cell r="L21">
            <v>1843</v>
          </cell>
          <cell r="M21">
            <v>4958.1028299999998</v>
          </cell>
          <cell r="N21">
            <v>922452</v>
          </cell>
          <cell r="O21">
            <v>1733798.9548699998</v>
          </cell>
          <cell r="P21">
            <v>187973</v>
          </cell>
          <cell r="Q21">
            <v>342149.67241</v>
          </cell>
          <cell r="T21">
            <v>1110425</v>
          </cell>
          <cell r="U21">
            <v>2075948.6272799997</v>
          </cell>
        </row>
        <row r="22">
          <cell r="C22" t="str">
            <v>CSB BANK LTD.</v>
          </cell>
          <cell r="D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264522</v>
          </cell>
          <cell r="O22">
            <v>448376.00704</v>
          </cell>
          <cell r="P22">
            <v>47562</v>
          </cell>
          <cell r="Q22">
            <v>92575.220260000002</v>
          </cell>
          <cell r="T22">
            <v>312086</v>
          </cell>
          <cell r="U22">
            <v>540951.52730000007</v>
          </cell>
        </row>
        <row r="23">
          <cell r="C23" t="str">
            <v>DCB BANK LTD</v>
          </cell>
          <cell r="D23">
            <v>3469</v>
          </cell>
          <cell r="J23">
            <v>0</v>
          </cell>
          <cell r="K23">
            <v>0</v>
          </cell>
          <cell r="L23">
            <v>8331</v>
          </cell>
          <cell r="M23">
            <v>24966.190000000002</v>
          </cell>
          <cell r="N23">
            <v>282514</v>
          </cell>
          <cell r="O23">
            <v>540237.61800000002</v>
          </cell>
          <cell r="P23">
            <v>61642</v>
          </cell>
          <cell r="Q23">
            <v>200136.70499999999</v>
          </cell>
          <cell r="T23">
            <v>344589</v>
          </cell>
          <cell r="U23">
            <v>754376.74099999992</v>
          </cell>
        </row>
        <row r="24">
          <cell r="C24" t="str">
            <v>DHANALAKSHMI BANK LTD</v>
          </cell>
          <cell r="D24">
            <v>7645</v>
          </cell>
          <cell r="J24">
            <v>4</v>
          </cell>
          <cell r="K24">
            <v>54.322780000000002</v>
          </cell>
          <cell r="L24">
            <v>23972</v>
          </cell>
          <cell r="M24">
            <v>57085.765940000005</v>
          </cell>
          <cell r="N24">
            <v>260315</v>
          </cell>
          <cell r="O24">
            <v>411897.26993999997</v>
          </cell>
          <cell r="P24">
            <v>46748</v>
          </cell>
          <cell r="Q24">
            <v>86798.03628</v>
          </cell>
          <cell r="T24">
            <v>307063</v>
          </cell>
          <cell r="U24">
            <v>498695.30621999997</v>
          </cell>
        </row>
        <row r="25">
          <cell r="C25" t="str">
            <v>FEDERAL BANK LTD</v>
          </cell>
          <cell r="D25">
            <v>264497</v>
          </cell>
          <cell r="J25">
            <v>0</v>
          </cell>
          <cell r="K25">
            <v>0</v>
          </cell>
          <cell r="L25">
            <v>1164933</v>
          </cell>
          <cell r="M25">
            <v>5003983.8149999995</v>
          </cell>
          <cell r="N25">
            <v>5727724</v>
          </cell>
          <cell r="O25">
            <v>9972839.2589999996</v>
          </cell>
          <cell r="P25">
            <v>2124085</v>
          </cell>
          <cell r="Q25">
            <v>4549081.0580000002</v>
          </cell>
          <cell r="T25">
            <v>7854041</v>
          </cell>
          <cell r="U25">
            <v>14547028.994999999</v>
          </cell>
        </row>
        <row r="26">
          <cell r="C26" t="str">
            <v>HDFC BANK LTD</v>
          </cell>
          <cell r="D26">
            <v>17949861</v>
          </cell>
          <cell r="J26">
            <v>0</v>
          </cell>
          <cell r="K26">
            <v>0</v>
          </cell>
          <cell r="L26">
            <v>59525681</v>
          </cell>
          <cell r="M26">
            <v>328448726.59599996</v>
          </cell>
          <cell r="N26">
            <v>25061455</v>
          </cell>
          <cell r="O26">
            <v>58117716.318000004</v>
          </cell>
          <cell r="P26">
            <v>17162436</v>
          </cell>
          <cell r="Q26">
            <v>47619427.906999998</v>
          </cell>
          <cell r="T26">
            <v>42799247</v>
          </cell>
          <cell r="U26">
            <v>109074376.49599999</v>
          </cell>
        </row>
        <row r="27">
          <cell r="C27" t="str">
            <v>ICICI BANK LTD</v>
          </cell>
          <cell r="D27">
            <v>13725493</v>
          </cell>
          <cell r="J27">
            <v>0</v>
          </cell>
          <cell r="K27">
            <v>0</v>
          </cell>
          <cell r="L27">
            <v>46232925</v>
          </cell>
          <cell r="M27">
            <v>233462385.16408187</v>
          </cell>
          <cell r="N27">
            <v>17163013</v>
          </cell>
          <cell r="O27">
            <v>42593664.891760297</v>
          </cell>
          <cell r="P27">
            <v>6638948</v>
          </cell>
          <cell r="Q27">
            <v>27082859.153079733</v>
          </cell>
          <cell r="T27">
            <v>23828609</v>
          </cell>
          <cell r="U27">
            <v>69928566.443240032</v>
          </cell>
        </row>
        <row r="28">
          <cell r="C28" t="str">
            <v>IDBI BANK LTD</v>
          </cell>
          <cell r="D28">
            <v>42508</v>
          </cell>
          <cell r="J28">
            <v>0</v>
          </cell>
          <cell r="K28">
            <v>0</v>
          </cell>
          <cell r="L28">
            <v>114188</v>
          </cell>
          <cell r="M28">
            <v>371467.57420000003</v>
          </cell>
          <cell r="N28">
            <v>2657426</v>
          </cell>
          <cell r="O28">
            <v>5004793.0080000004</v>
          </cell>
          <cell r="P28">
            <v>828357</v>
          </cell>
          <cell r="Q28">
            <v>1654087.9129999999</v>
          </cell>
          <cell r="T28">
            <v>3485783</v>
          </cell>
          <cell r="U28">
            <v>6658880.9210000001</v>
          </cell>
        </row>
        <row r="29">
          <cell r="C29" t="str">
            <v>IDFC FIRST BANK LTD</v>
          </cell>
          <cell r="D29">
            <v>1042747</v>
          </cell>
          <cell r="J29">
            <v>0</v>
          </cell>
          <cell r="K29">
            <v>0</v>
          </cell>
          <cell r="L29">
            <v>2783207</v>
          </cell>
          <cell r="M29">
            <v>13698448.025280001</v>
          </cell>
          <cell r="N29">
            <v>1435524</v>
          </cell>
          <cell r="O29">
            <v>2211696.6310000001</v>
          </cell>
          <cell r="P29">
            <v>450999</v>
          </cell>
          <cell r="Q29">
            <v>1492307.557</v>
          </cell>
          <cell r="T29">
            <v>1886523</v>
          </cell>
          <cell r="U29">
            <v>3704004.1880000001</v>
          </cell>
        </row>
        <row r="30">
          <cell r="C30" t="str">
            <v>INDUSIND BANK LTD</v>
          </cell>
          <cell r="D30">
            <v>1822569</v>
          </cell>
          <cell r="J30">
            <v>0</v>
          </cell>
          <cell r="K30">
            <v>0</v>
          </cell>
          <cell r="L30">
            <v>5062403</v>
          </cell>
          <cell r="M30">
            <v>56828957.917999998</v>
          </cell>
          <cell r="N30">
            <v>1680339</v>
          </cell>
          <cell r="O30">
            <v>3441222.3149999999</v>
          </cell>
          <cell r="P30">
            <v>1035879</v>
          </cell>
          <cell r="Q30">
            <v>3129713.0580000002</v>
          </cell>
          <cell r="T30">
            <v>2717164</v>
          </cell>
          <cell r="U30">
            <v>6627727.2308</v>
          </cell>
        </row>
        <row r="31">
          <cell r="C31" t="str">
            <v>JAMMU AND KASHMIR BANK LTD</v>
          </cell>
          <cell r="D31">
            <v>81101</v>
          </cell>
          <cell r="J31">
            <v>0</v>
          </cell>
          <cell r="K31">
            <v>0</v>
          </cell>
          <cell r="L31">
            <v>223001</v>
          </cell>
          <cell r="M31">
            <v>1027146.04538</v>
          </cell>
          <cell r="N31">
            <v>1168365</v>
          </cell>
          <cell r="O31">
            <v>2650718.9135199999</v>
          </cell>
          <cell r="P31">
            <v>3250074</v>
          </cell>
          <cell r="Q31">
            <v>1525872.3641700002</v>
          </cell>
          <cell r="T31">
            <v>4418439</v>
          </cell>
          <cell r="U31">
            <v>4176591.2776899999</v>
          </cell>
        </row>
        <row r="32">
          <cell r="C32" t="str">
            <v>KARNATAKA BANK LTD</v>
          </cell>
          <cell r="D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1954061</v>
          </cell>
          <cell r="O32">
            <v>2772802.0816100002</v>
          </cell>
          <cell r="P32">
            <v>398693</v>
          </cell>
          <cell r="Q32">
            <v>643224.80501000001</v>
          </cell>
          <cell r="T32">
            <v>2352754</v>
          </cell>
          <cell r="U32">
            <v>3416026.88662</v>
          </cell>
        </row>
        <row r="33">
          <cell r="C33" t="str">
            <v>KARUR VYSYA BANK LTD</v>
          </cell>
          <cell r="D33">
            <v>9680</v>
          </cell>
          <cell r="J33">
            <v>0</v>
          </cell>
          <cell r="K33">
            <v>0</v>
          </cell>
          <cell r="L33">
            <v>25256</v>
          </cell>
          <cell r="M33">
            <v>159218.30432000002</v>
          </cell>
          <cell r="N33">
            <v>1975517</v>
          </cell>
          <cell r="O33">
            <v>4055695.4244299987</v>
          </cell>
          <cell r="P33">
            <v>410368</v>
          </cell>
          <cell r="Q33">
            <v>1135651.4587099997</v>
          </cell>
          <cell r="T33">
            <v>2396222</v>
          </cell>
          <cell r="U33">
            <v>5397731.8996099988</v>
          </cell>
        </row>
        <row r="34">
          <cell r="C34" t="str">
            <v>KOTAK MAHINDRA BANK LTD</v>
          </cell>
          <cell r="D34">
            <v>4052093</v>
          </cell>
          <cell r="J34">
            <v>0</v>
          </cell>
          <cell r="K34">
            <v>0</v>
          </cell>
          <cell r="L34">
            <v>8069889</v>
          </cell>
          <cell r="M34">
            <v>36319737.420000002</v>
          </cell>
          <cell r="N34">
            <v>5237184</v>
          </cell>
          <cell r="O34">
            <v>9182085.3660000004</v>
          </cell>
          <cell r="P34">
            <v>3811352</v>
          </cell>
          <cell r="Q34">
            <v>8280605.625</v>
          </cell>
          <cell r="T34">
            <v>9048536</v>
          </cell>
          <cell r="U34">
            <v>17462690.991</v>
          </cell>
        </row>
        <row r="35">
          <cell r="C35" t="str">
            <v>RBL BANK LTD</v>
          </cell>
          <cell r="D35">
            <v>4005255</v>
          </cell>
          <cell r="J35">
            <v>0</v>
          </cell>
          <cell r="K35">
            <v>0</v>
          </cell>
          <cell r="L35">
            <v>9731407</v>
          </cell>
          <cell r="M35">
            <v>46751561.391999997</v>
          </cell>
          <cell r="N35">
            <v>320132</v>
          </cell>
          <cell r="O35">
            <v>625691.94370000006</v>
          </cell>
          <cell r="P35">
            <v>148382</v>
          </cell>
          <cell r="Q35">
            <v>466511.54560000001</v>
          </cell>
          <cell r="T35">
            <v>468652</v>
          </cell>
          <cell r="U35">
            <v>1097883.7914199999</v>
          </cell>
        </row>
        <row r="36">
          <cell r="C36" t="str">
            <v>SOUTH INDIAN BANK</v>
          </cell>
          <cell r="D36">
            <v>115538</v>
          </cell>
          <cell r="J36">
            <v>0</v>
          </cell>
          <cell r="K36">
            <v>0</v>
          </cell>
          <cell r="L36">
            <v>610378</v>
          </cell>
          <cell r="M36">
            <v>2668167.0240000002</v>
          </cell>
          <cell r="N36">
            <v>1969550</v>
          </cell>
          <cell r="O36">
            <v>3568324.8059999999</v>
          </cell>
          <cell r="P36">
            <v>424386</v>
          </cell>
          <cell r="Q36">
            <v>1013287.319</v>
          </cell>
          <cell r="T36">
            <v>2393936</v>
          </cell>
          <cell r="U36">
            <v>4581612.125</v>
          </cell>
        </row>
        <row r="37">
          <cell r="C37" t="str">
            <v>TAMILNAD MERCANTILE BANK LTD</v>
          </cell>
          <cell r="D37">
            <v>40991</v>
          </cell>
          <cell r="J37">
            <v>0</v>
          </cell>
          <cell r="K37">
            <v>0</v>
          </cell>
          <cell r="L37">
            <v>70997</v>
          </cell>
          <cell r="M37">
            <v>321373.79099999997</v>
          </cell>
          <cell r="N37">
            <v>486404</v>
          </cell>
          <cell r="O37">
            <v>1001048.85466</v>
          </cell>
          <cell r="P37">
            <v>136359</v>
          </cell>
          <cell r="Q37">
            <v>239329.04822999999</v>
          </cell>
          <cell r="T37">
            <v>622886</v>
          </cell>
          <cell r="U37">
            <v>1240731.1778899999</v>
          </cell>
        </row>
        <row r="38">
          <cell r="C38" t="str">
            <v>YES BANK LTD</v>
          </cell>
          <cell r="D38">
            <v>1331990</v>
          </cell>
          <cell r="J38">
            <v>0</v>
          </cell>
          <cell r="K38">
            <v>0</v>
          </cell>
          <cell r="L38">
            <v>2681146</v>
          </cell>
          <cell r="M38">
            <v>11788890.798020002</v>
          </cell>
          <cell r="N38">
            <v>1326752</v>
          </cell>
          <cell r="O38">
            <v>2479897.1645900002</v>
          </cell>
          <cell r="P38">
            <v>685565</v>
          </cell>
          <cell r="Q38">
            <v>1648316.9237500001</v>
          </cell>
        </row>
        <row r="39">
          <cell r="C39"/>
          <cell r="D39"/>
          <cell r="J39"/>
          <cell r="K39"/>
          <cell r="L39"/>
          <cell r="M39"/>
          <cell r="N39"/>
          <cell r="O39"/>
          <cell r="P39"/>
          <cell r="Q39"/>
          <cell r="T39"/>
          <cell r="U39"/>
        </row>
        <row r="40">
          <cell r="C40" t="str">
            <v>AMERICAN EXPRESS BANKING CORPORATION</v>
          </cell>
          <cell r="D40">
            <v>1356420</v>
          </cell>
          <cell r="J40">
            <v>0</v>
          </cell>
          <cell r="K40">
            <v>0</v>
          </cell>
          <cell r="L40">
            <v>4251530</v>
          </cell>
          <cell r="M40">
            <v>30180808.053000003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T40">
            <v>0</v>
          </cell>
          <cell r="U40">
            <v>0</v>
          </cell>
        </row>
        <row r="41">
          <cell r="C41" t="str">
            <v>BANK OF AMERICA</v>
          </cell>
          <cell r="D41">
            <v>21092</v>
          </cell>
          <cell r="J41">
            <v>0</v>
          </cell>
          <cell r="K41">
            <v>0</v>
          </cell>
          <cell r="L41">
            <v>42999</v>
          </cell>
          <cell r="M41">
            <v>296999.66929999995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T41">
            <v>0</v>
          </cell>
          <cell r="U41">
            <v>0</v>
          </cell>
        </row>
        <row r="42">
          <cell r="C42" t="str">
            <v>BARCLAYS BANK PLC</v>
          </cell>
          <cell r="D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50</v>
          </cell>
          <cell r="O42">
            <v>211.53800000000001</v>
          </cell>
          <cell r="P42">
            <v>19</v>
          </cell>
          <cell r="Q42">
            <v>14.129799999999999</v>
          </cell>
          <cell r="T42">
            <v>69</v>
          </cell>
          <cell r="U42">
            <v>225.6678</v>
          </cell>
        </row>
        <row r="43">
          <cell r="C43" t="str">
            <v>CITI BANK</v>
          </cell>
          <cell r="D43">
            <v>2545671</v>
          </cell>
          <cell r="J43">
            <v>0</v>
          </cell>
          <cell r="K43">
            <v>0</v>
          </cell>
          <cell r="L43">
            <v>12148881</v>
          </cell>
          <cell r="M43">
            <v>42003739.716959998</v>
          </cell>
          <cell r="N43">
            <v>972795</v>
          </cell>
          <cell r="O43">
            <v>2416645.79587</v>
          </cell>
          <cell r="P43">
            <v>988675</v>
          </cell>
          <cell r="Q43">
            <v>2907840.2211000002</v>
          </cell>
          <cell r="T43">
            <v>1961470</v>
          </cell>
          <cell r="U43">
            <v>5324486.0169700002</v>
          </cell>
        </row>
        <row r="44">
          <cell r="C44" t="str">
            <v>DBS INDIA BANK LTD</v>
          </cell>
          <cell r="D44">
            <v>34686</v>
          </cell>
          <cell r="J44">
            <v>0</v>
          </cell>
          <cell r="K44">
            <v>0</v>
          </cell>
          <cell r="L44">
            <v>55288</v>
          </cell>
          <cell r="M44">
            <v>281472.79483999999</v>
          </cell>
          <cell r="N44">
            <v>649780</v>
          </cell>
          <cell r="O44">
            <v>952846.37138999999</v>
          </cell>
          <cell r="P44">
            <v>262948</v>
          </cell>
          <cell r="Q44">
            <v>483032.69485000003</v>
          </cell>
          <cell r="T44">
            <v>913169</v>
          </cell>
          <cell r="U44">
            <v>1443155.38424</v>
          </cell>
        </row>
        <row r="45">
          <cell r="C45" t="str">
            <v>DEUTSCHE BANK LTD</v>
          </cell>
          <cell r="D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66553</v>
          </cell>
          <cell r="O45">
            <v>163656.93610999957</v>
          </cell>
          <cell r="P45">
            <v>26256</v>
          </cell>
          <cell r="Q45">
            <v>77109.086230000001</v>
          </cell>
          <cell r="T45">
            <v>92809</v>
          </cell>
          <cell r="U45">
            <v>240766.02233999956</v>
          </cell>
        </row>
        <row r="46">
          <cell r="C46" t="str">
            <v>HSBC LTD</v>
          </cell>
          <cell r="D46">
            <v>762067</v>
          </cell>
          <cell r="J46">
            <v>0</v>
          </cell>
          <cell r="K46">
            <v>0</v>
          </cell>
          <cell r="L46">
            <v>1719811</v>
          </cell>
          <cell r="M46">
            <v>7500254.5803699996</v>
          </cell>
          <cell r="N46">
            <v>383322</v>
          </cell>
          <cell r="O46">
            <v>1095028.8880399999</v>
          </cell>
          <cell r="P46">
            <v>0</v>
          </cell>
          <cell r="Q46">
            <v>0</v>
          </cell>
          <cell r="T46">
            <v>383322</v>
          </cell>
          <cell r="U46">
            <v>1095028.8880399999</v>
          </cell>
        </row>
        <row r="47">
          <cell r="C47" t="str">
            <v>SBM BANK INDIA LTD</v>
          </cell>
          <cell r="D47">
            <v>1275573</v>
          </cell>
          <cell r="J47">
            <v>0</v>
          </cell>
          <cell r="K47">
            <v>0</v>
          </cell>
          <cell r="L47">
            <v>1939983</v>
          </cell>
          <cell r="M47">
            <v>9416960.7290000003</v>
          </cell>
          <cell r="N47">
            <v>7516</v>
          </cell>
          <cell r="O47">
            <v>15774.655167500001</v>
          </cell>
          <cell r="P47">
            <v>20762</v>
          </cell>
          <cell r="Q47">
            <v>42366.501052500003</v>
          </cell>
          <cell r="T47">
            <v>28278</v>
          </cell>
          <cell r="U47">
            <v>58141.156220000004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50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8" sqref="A8"/>
      <selection pane="bottomRight" activeCell="C15" sqref="C15"/>
    </sheetView>
  </sheetViews>
  <sheetFormatPr defaultColWidth="9.109375" defaultRowHeight="13.2" x14ac:dyDescent="0.25"/>
  <cols>
    <col min="1" max="1" width="5.109375" style="8" bestFit="1" customWidth="1"/>
    <col min="2" max="2" width="5" style="9" customWidth="1"/>
    <col min="3" max="3" width="39.5546875" style="9" customWidth="1"/>
    <col min="4" max="4" width="9.6640625" style="9" customWidth="1"/>
    <col min="5" max="5" width="10.44140625" style="9" customWidth="1"/>
    <col min="6" max="9" width="10" style="9" bestFit="1" customWidth="1"/>
    <col min="10" max="10" width="8" style="9" bestFit="1" customWidth="1"/>
    <col min="11" max="11" width="9.109375" style="9" bestFit="1" customWidth="1"/>
    <col min="12" max="12" width="14.109375" style="9" customWidth="1"/>
    <col min="13" max="13" width="15.5546875" style="9" customWidth="1"/>
    <col min="14" max="15" width="10" style="9" bestFit="1" customWidth="1"/>
    <col min="16" max="16" width="10" style="9" customWidth="1"/>
    <col min="17" max="17" width="10" style="9" bestFit="1" customWidth="1"/>
    <col min="18" max="18" width="9.33203125" style="9" customWidth="1"/>
    <col min="19" max="19" width="9.109375" style="9" bestFit="1" customWidth="1"/>
    <col min="20" max="20" width="12.33203125" style="9" customWidth="1"/>
    <col min="21" max="21" width="11.33203125" style="9" customWidth="1"/>
    <col min="22" max="16384" width="9.109375" style="9"/>
  </cols>
  <sheetData>
    <row r="1" spans="1:21" x14ac:dyDescent="0.25">
      <c r="B1" s="22"/>
      <c r="C1" s="21"/>
      <c r="D1" s="22"/>
      <c r="E1" s="22"/>
      <c r="F1" s="23" t="s">
        <v>0</v>
      </c>
      <c r="G1" s="24"/>
      <c r="H1" s="24"/>
      <c r="I1" s="24"/>
      <c r="J1" s="24"/>
      <c r="K1" s="24"/>
      <c r="L1" s="24"/>
      <c r="M1" s="25"/>
      <c r="N1" s="28" t="s">
        <v>1</v>
      </c>
      <c r="O1" s="29"/>
      <c r="P1" s="29"/>
      <c r="Q1" s="29"/>
      <c r="R1" s="29"/>
      <c r="S1" s="29"/>
      <c r="T1" s="29"/>
      <c r="U1" s="29"/>
    </row>
    <row r="2" spans="1:21" x14ac:dyDescent="0.25">
      <c r="B2" s="22"/>
      <c r="C2" s="21"/>
      <c r="D2" s="22" t="s">
        <v>2</v>
      </c>
      <c r="E2" s="22" t="s">
        <v>3</v>
      </c>
      <c r="F2" s="23" t="s">
        <v>4</v>
      </c>
      <c r="G2" s="24"/>
      <c r="H2" s="24"/>
      <c r="I2" s="24"/>
      <c r="J2" s="24"/>
      <c r="K2" s="24"/>
      <c r="L2" s="24"/>
      <c r="M2" s="25"/>
      <c r="N2" s="30" t="s">
        <v>4</v>
      </c>
      <c r="O2" s="31"/>
      <c r="P2" s="31"/>
      <c r="Q2" s="31"/>
      <c r="R2" s="31"/>
      <c r="S2" s="31"/>
      <c r="T2" s="31"/>
      <c r="U2" s="31"/>
    </row>
    <row r="3" spans="1:21" x14ac:dyDescent="0.25">
      <c r="B3" s="22"/>
      <c r="C3" s="21"/>
      <c r="D3" s="22"/>
      <c r="E3" s="22"/>
      <c r="F3" s="22" t="s">
        <v>5</v>
      </c>
      <c r="G3" s="22"/>
      <c r="H3" s="22" t="s">
        <v>6</v>
      </c>
      <c r="I3" s="22"/>
      <c r="J3" s="21" t="s">
        <v>7</v>
      </c>
      <c r="K3" s="21"/>
      <c r="L3" s="23" t="s">
        <v>55</v>
      </c>
      <c r="M3" s="25"/>
      <c r="N3" s="22" t="s">
        <v>5</v>
      </c>
      <c r="O3" s="22"/>
      <c r="P3" s="22" t="s">
        <v>6</v>
      </c>
      <c r="Q3" s="22"/>
      <c r="R3" s="21" t="s">
        <v>7</v>
      </c>
      <c r="S3" s="21"/>
      <c r="T3" s="23" t="s">
        <v>55</v>
      </c>
      <c r="U3" s="25"/>
    </row>
    <row r="4" spans="1:21" s="12" customFormat="1" ht="39.6" x14ac:dyDescent="0.3">
      <c r="A4" s="11"/>
      <c r="B4" s="22"/>
      <c r="C4" s="21"/>
      <c r="D4" s="22"/>
      <c r="E4" s="22"/>
      <c r="F4" s="7" t="s">
        <v>8</v>
      </c>
      <c r="G4" s="7" t="s">
        <v>9</v>
      </c>
      <c r="H4" s="7" t="s">
        <v>8</v>
      </c>
      <c r="I4" s="7" t="s">
        <v>9</v>
      </c>
      <c r="J4" s="7" t="s">
        <v>8</v>
      </c>
      <c r="K4" s="7" t="s">
        <v>9</v>
      </c>
      <c r="L4" s="7" t="s">
        <v>8</v>
      </c>
      <c r="M4" s="7" t="s">
        <v>9</v>
      </c>
      <c r="N4" s="7" t="s">
        <v>8</v>
      </c>
      <c r="O4" s="7" t="s">
        <v>9</v>
      </c>
      <c r="P4" s="7" t="s">
        <v>8</v>
      </c>
      <c r="Q4" s="7" t="s">
        <v>9</v>
      </c>
      <c r="R4" s="7" t="s">
        <v>8</v>
      </c>
      <c r="S4" s="7" t="s">
        <v>9</v>
      </c>
      <c r="T4" s="7" t="s">
        <v>8</v>
      </c>
      <c r="U4" s="7" t="s">
        <v>9</v>
      </c>
    </row>
    <row r="5" spans="1:21" x14ac:dyDescent="0.25">
      <c r="B5" s="5" t="s">
        <v>10</v>
      </c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1" x14ac:dyDescent="0.25">
      <c r="B6" s="16">
        <v>1</v>
      </c>
      <c r="C6" s="2" t="s">
        <v>11</v>
      </c>
      <c r="D6" s="3">
        <f>'[1]July 2022 (Revised)'!C7</f>
        <v>1416927</v>
      </c>
      <c r="E6" s="3">
        <f>'[1]July 2022 (Revised)'!D7</f>
        <v>76491940</v>
      </c>
      <c r="F6" s="3">
        <f>'[1]July 2022 (Revised)'!J7</f>
        <v>1595737</v>
      </c>
      <c r="G6" s="3">
        <f>'[1]July 2022 (Revised)'!K7/1000</f>
        <v>4965048.0389999999</v>
      </c>
      <c r="H6" s="3">
        <f>'[1]July 2022 (Revised)'!L7</f>
        <v>1591195</v>
      </c>
      <c r="I6" s="3">
        <f>'[1]July 2022 (Revised)'!M7/1000</f>
        <v>7782340.4419999998</v>
      </c>
      <c r="J6" s="3">
        <f>'[1]July 2022 (Revised)'!N7+'[1]July 2022 (Revised)'!P7</f>
        <v>0</v>
      </c>
      <c r="K6" s="3">
        <f>'[1]July 2022 (Revised)'!O7/1000+'[1]July 2022 (Revised)'!Q7/1000</f>
        <v>0</v>
      </c>
      <c r="L6" s="3">
        <f>F6+H6+J6</f>
        <v>3186932</v>
      </c>
      <c r="M6" s="3">
        <f>G6+I6+K6</f>
        <v>12747388.480999999</v>
      </c>
      <c r="N6" s="3">
        <f>'[1]July 2022 (Revised)'!T7</f>
        <v>7928069</v>
      </c>
      <c r="O6" s="3">
        <f>'[1]July 2022 (Revised)'!U7/1000</f>
        <v>14477324.877</v>
      </c>
      <c r="P6" s="3">
        <f>'[1]July 2022 (Revised)'!V7</f>
        <v>4041585</v>
      </c>
      <c r="Q6" s="3">
        <f>'[1]July 2022 (Revised)'!W7/1000</f>
        <v>6982928.4369999999</v>
      </c>
      <c r="R6" s="3">
        <f>'[1]July 2022 (Revised)'!X7+'[1]July 2022 (Revised)'!Z7</f>
        <v>4</v>
      </c>
      <c r="S6" s="3">
        <f>'[1]July 2022 (Revised)'!Y7/1000+'[1]July 2022 (Revised)'!AA7/1000</f>
        <v>7.04</v>
      </c>
      <c r="T6" s="27">
        <f>N6+P6+R6</f>
        <v>11969658</v>
      </c>
      <c r="U6" s="27">
        <f>O6+Q6+S6</f>
        <v>21460260.353999998</v>
      </c>
    </row>
    <row r="7" spans="1:21" x14ac:dyDescent="0.25">
      <c r="B7" s="16">
        <v>2</v>
      </c>
      <c r="C7" s="2" t="s">
        <v>12</v>
      </c>
      <c r="D7" s="3">
        <f>'[1]July 2022 (Revised)'!C8</f>
        <v>161832</v>
      </c>
      <c r="E7" s="3">
        <f>'[1]July 2022 (Revised)'!D8</f>
        <v>45431685</v>
      </c>
      <c r="F7" s="3">
        <f>'[1]July 2022 (Revised)'!J8</f>
        <v>140706</v>
      </c>
      <c r="G7" s="3">
        <f>'[1]July 2022 (Revised)'!K8/1000</f>
        <v>475262.53662000003</v>
      </c>
      <c r="H7" s="3">
        <f>'[1]July 2022 (Revised)'!L8</f>
        <v>106785</v>
      </c>
      <c r="I7" s="3">
        <f>'[1]July 2022 (Revised)'!M8/1000</f>
        <v>314510.91344999999</v>
      </c>
      <c r="J7" s="3">
        <f>'[1]July 2022 (Revised)'!N8+'[1]July 2022 (Revised)'!P8</f>
        <v>0</v>
      </c>
      <c r="K7" s="3">
        <f>'[1]July 2022 (Revised)'!O8/1000+'[1]July 2022 (Revised)'!Q8/1000</f>
        <v>0</v>
      </c>
      <c r="L7" s="3">
        <f t="shared" ref="L7:L49" si="0">F7+H7+J7</f>
        <v>247491</v>
      </c>
      <c r="M7" s="3">
        <f t="shared" ref="M7:M49" si="1">G7+I7+K7</f>
        <v>789773.45007000002</v>
      </c>
      <c r="N7" s="3">
        <f>'[1]July 2022 (Revised)'!T8</f>
        <v>4755844</v>
      </c>
      <c r="O7" s="3">
        <f>'[1]July 2022 (Revised)'!U8/1000</f>
        <v>8048259.1480100006</v>
      </c>
      <c r="P7" s="3">
        <f>'[1]July 2022 (Revised)'!V8</f>
        <v>2760930</v>
      </c>
      <c r="Q7" s="3">
        <f>'[1]July 2022 (Revised)'!W8/1000</f>
        <v>3697356.0625300002</v>
      </c>
      <c r="R7" s="3">
        <f>'[1]July 2022 (Revised)'!X8+'[1]July 2022 (Revised)'!Z8</f>
        <v>0</v>
      </c>
      <c r="S7" s="3">
        <f>'[1]July 2022 (Revised)'!Y8/1000+'[1]July 2022 (Revised)'!AA8/1000</f>
        <v>0</v>
      </c>
      <c r="T7" s="27">
        <f t="shared" ref="T7:T50" si="2">N7+P7+R7</f>
        <v>7516774</v>
      </c>
      <c r="U7" s="27">
        <f t="shared" ref="U7:U50" si="3">O7+Q7+S7</f>
        <v>11745615.21054</v>
      </c>
    </row>
    <row r="8" spans="1:21" x14ac:dyDescent="0.25">
      <c r="B8" s="16">
        <v>3</v>
      </c>
      <c r="C8" s="4" t="s">
        <v>13</v>
      </c>
      <c r="D8" s="3">
        <f>'[1]July 2022 (Revised)'!C9</f>
        <v>76761</v>
      </c>
      <c r="E8" s="3">
        <f>'[1]July 2022 (Revised)'!D9</f>
        <v>12784888</v>
      </c>
      <c r="F8" s="3">
        <f>'[1]July 2022 (Revised)'!J9</f>
        <v>79760</v>
      </c>
      <c r="G8" s="3">
        <f>'[1]July 2022 (Revised)'!K9/1000</f>
        <v>328788.54210000002</v>
      </c>
      <c r="H8" s="3">
        <f>'[1]July 2022 (Revised)'!L9</f>
        <v>0</v>
      </c>
      <c r="I8" s="3">
        <f>'[1]July 2022 (Revised)'!M9/1000</f>
        <v>0</v>
      </c>
      <c r="J8" s="3">
        <f>'[1]July 2022 (Revised)'!N9+'[1]July 2022 (Revised)'!P9</f>
        <v>0</v>
      </c>
      <c r="K8" s="3">
        <f>'[1]July 2022 (Revised)'!O9/1000+'[1]July 2022 (Revised)'!Q9/1000</f>
        <v>0</v>
      </c>
      <c r="L8" s="3">
        <f t="shared" si="0"/>
        <v>79760</v>
      </c>
      <c r="M8" s="3">
        <f t="shared" si="1"/>
        <v>328788.54210000002</v>
      </c>
      <c r="N8" s="3">
        <f>'[1]July 2022 (Revised)'!T9</f>
        <v>2377708</v>
      </c>
      <c r="O8" s="3">
        <f>'[1]July 2022 (Revised)'!U9/1000</f>
        <v>3483841.8160000001</v>
      </c>
      <c r="P8" s="3">
        <f>'[1]July 2022 (Revised)'!V9</f>
        <v>1062916</v>
      </c>
      <c r="Q8" s="3">
        <f>'[1]July 2022 (Revised)'!W9/1000</f>
        <v>1492120.422</v>
      </c>
      <c r="R8" s="3">
        <f>'[1]July 2022 (Revised)'!X9+'[1]July 2022 (Revised)'!Z9</f>
        <v>8809</v>
      </c>
      <c r="S8" s="3">
        <f>'[1]July 2022 (Revised)'!Y9/1000+'[1]July 2022 (Revised)'!AA9/1000</f>
        <v>96675.173900000009</v>
      </c>
      <c r="T8" s="27">
        <f t="shared" si="2"/>
        <v>3449433</v>
      </c>
      <c r="U8" s="27">
        <f t="shared" si="3"/>
        <v>5072637.4118999997</v>
      </c>
    </row>
    <row r="9" spans="1:21" x14ac:dyDescent="0.25">
      <c r="B9" s="16">
        <v>4</v>
      </c>
      <c r="C9" s="2" t="s">
        <v>14</v>
      </c>
      <c r="D9" s="3">
        <f>'[1]July 2022 (Revised)'!C10</f>
        <v>913399</v>
      </c>
      <c r="E9" s="3">
        <f>'[1]July 2022 (Revised)'!D10</f>
        <v>46819589</v>
      </c>
      <c r="F9" s="3">
        <f>'[1]July 2022 (Revised)'!J10</f>
        <v>669447</v>
      </c>
      <c r="G9" s="3">
        <f>'[1]July 2022 (Revised)'!K10/1000</f>
        <v>1750369.9361100001</v>
      </c>
      <c r="H9" s="3">
        <f>'[1]July 2022 (Revised)'!L10</f>
        <v>304917</v>
      </c>
      <c r="I9" s="3">
        <f>'[1]July 2022 (Revised)'!M10/1000</f>
        <v>1057839.26104</v>
      </c>
      <c r="J9" s="3">
        <f>'[1]July 2022 (Revised)'!N10+'[1]July 2022 (Revised)'!P10</f>
        <v>0</v>
      </c>
      <c r="K9" s="3">
        <f>'[1]July 2022 (Revised)'!O10/1000+'[1]July 2022 (Revised)'!Q10/1000</f>
        <v>0</v>
      </c>
      <c r="L9" s="3">
        <f t="shared" si="0"/>
        <v>974364</v>
      </c>
      <c r="M9" s="3">
        <f t="shared" si="1"/>
        <v>2808209.1971500004</v>
      </c>
      <c r="N9" s="3">
        <f>'[1]July 2022 (Revised)'!T10</f>
        <v>9643828</v>
      </c>
      <c r="O9" s="3">
        <f>'[1]July 2022 (Revised)'!U10/1000</f>
        <v>18907587.06611</v>
      </c>
      <c r="P9" s="3">
        <f>'[1]July 2022 (Revised)'!V10</f>
        <v>3901673</v>
      </c>
      <c r="Q9" s="3">
        <f>'[1]July 2022 (Revised)'!W10/1000</f>
        <v>7081912.42141</v>
      </c>
      <c r="R9" s="3">
        <f>'[1]July 2022 (Revised)'!X10+'[1]July 2022 (Revised)'!Z10</f>
        <v>4387</v>
      </c>
      <c r="S9" s="3">
        <f>'[1]July 2022 (Revised)'!Y10/1000+'[1]July 2022 (Revised)'!AA10/1000</f>
        <v>67096.413</v>
      </c>
      <c r="T9" s="27">
        <f t="shared" si="2"/>
        <v>13549888</v>
      </c>
      <c r="U9" s="27">
        <f t="shared" si="3"/>
        <v>26056595.900520001</v>
      </c>
    </row>
    <row r="10" spans="1:21" x14ac:dyDescent="0.25">
      <c r="B10" s="16">
        <v>5</v>
      </c>
      <c r="C10" s="2" t="s">
        <v>15</v>
      </c>
      <c r="D10" s="3">
        <f>'[1]July 2022 (Revised)'!C11</f>
        <v>0</v>
      </c>
      <c r="E10" s="3">
        <f>'[1]July 2022 (Revised)'!D11</f>
        <v>27305718</v>
      </c>
      <c r="F10" s="3">
        <f>'[1]July 2022 (Revised)'!J11</f>
        <v>0</v>
      </c>
      <c r="G10" s="3">
        <f>'[1]July 2022 (Revised)'!K11/1000</f>
        <v>0</v>
      </c>
      <c r="H10" s="3">
        <f>'[1]July 2022 (Revised)'!L11</f>
        <v>0</v>
      </c>
      <c r="I10" s="3">
        <f>'[1]July 2022 (Revised)'!M11/1000</f>
        <v>0</v>
      </c>
      <c r="J10" s="3">
        <f>'[1]July 2022 (Revised)'!N11+'[1]July 2022 (Revised)'!P11</f>
        <v>0</v>
      </c>
      <c r="K10" s="3">
        <f>'[1]July 2022 (Revised)'!O11/1000+'[1]July 2022 (Revised)'!Q11/1000</f>
        <v>0</v>
      </c>
      <c r="L10" s="3">
        <f t="shared" si="0"/>
        <v>0</v>
      </c>
      <c r="M10" s="3">
        <f t="shared" si="1"/>
        <v>0</v>
      </c>
      <c r="N10" s="3">
        <f>'[1]July 2022 (Revised)'!T11</f>
        <v>2788601</v>
      </c>
      <c r="O10" s="3">
        <f>'[1]July 2022 (Revised)'!U11/1000</f>
        <v>5735353.5539999995</v>
      </c>
      <c r="P10" s="3">
        <f>'[1]July 2022 (Revised)'!V11</f>
        <v>779735</v>
      </c>
      <c r="Q10" s="3">
        <f>'[1]July 2022 (Revised)'!W11/1000</f>
        <v>1416751.35</v>
      </c>
      <c r="R10" s="3">
        <f>'[1]July 2022 (Revised)'!X11+'[1]July 2022 (Revised)'!Z11</f>
        <v>0</v>
      </c>
      <c r="S10" s="3">
        <f>'[1]July 2022 (Revised)'!Y11/1000+'[1]July 2022 (Revised)'!AA11/1000</f>
        <v>0</v>
      </c>
      <c r="T10" s="27">
        <f t="shared" si="2"/>
        <v>3568336</v>
      </c>
      <c r="U10" s="27">
        <f t="shared" si="3"/>
        <v>7152104.9039999992</v>
      </c>
    </row>
    <row r="11" spans="1:21" x14ac:dyDescent="0.25">
      <c r="B11" s="16">
        <v>6</v>
      </c>
      <c r="C11" s="2" t="s">
        <v>16</v>
      </c>
      <c r="D11" s="3">
        <f>'[1]July 2022 (Revised)'!C12</f>
        <v>157121</v>
      </c>
      <c r="E11" s="3">
        <f>'[1]July 2022 (Revised)'!D12</f>
        <v>28168095</v>
      </c>
      <c r="F11" s="3">
        <f>'[1]July 2022 (Revised)'!J12</f>
        <v>129222</v>
      </c>
      <c r="G11" s="3">
        <f>'[1]July 2022 (Revised)'!K12/1000</f>
        <v>381326.95299999998</v>
      </c>
      <c r="H11" s="3">
        <f>'[1]July 2022 (Revised)'!L12</f>
        <v>69997</v>
      </c>
      <c r="I11" s="3">
        <f>'[1]July 2022 (Revised)'!M12/1000</f>
        <v>304786.45899999997</v>
      </c>
      <c r="J11" s="3">
        <f>'[1]July 2022 (Revised)'!N12+'[1]July 2022 (Revised)'!P12</f>
        <v>0</v>
      </c>
      <c r="K11" s="3">
        <f>'[1]July 2022 (Revised)'!O12/1000+'[1]July 2022 (Revised)'!Q12/1000</f>
        <v>0</v>
      </c>
      <c r="L11" s="3">
        <f t="shared" si="0"/>
        <v>199219</v>
      </c>
      <c r="M11" s="3">
        <f t="shared" si="1"/>
        <v>686113.41200000001</v>
      </c>
      <c r="N11" s="3">
        <f>'[1]July 2022 (Revised)'!T12</f>
        <v>5885682</v>
      </c>
      <c r="O11" s="3">
        <f>'[1]July 2022 (Revised)'!U12/1000</f>
        <v>10751459.102</v>
      </c>
      <c r="P11" s="3">
        <f>'[1]July 2022 (Revised)'!V12</f>
        <v>2777357</v>
      </c>
      <c r="Q11" s="3">
        <f>'[1]July 2022 (Revised)'!W12/1000</f>
        <v>4217590.5290000001</v>
      </c>
      <c r="R11" s="3">
        <f>'[1]July 2022 (Revised)'!X12+'[1]July 2022 (Revised)'!Z12</f>
        <v>4980</v>
      </c>
      <c r="S11" s="3">
        <f>'[1]July 2022 (Revised)'!Y12/1000+'[1]July 2022 (Revised)'!AA12/1000</f>
        <v>74590.611780000007</v>
      </c>
      <c r="T11" s="27">
        <f t="shared" si="2"/>
        <v>8668019</v>
      </c>
      <c r="U11" s="27">
        <f t="shared" si="3"/>
        <v>15043640.242780002</v>
      </c>
    </row>
    <row r="12" spans="1:21" x14ac:dyDescent="0.25">
      <c r="B12" s="16">
        <v>7</v>
      </c>
      <c r="C12" s="2" t="s">
        <v>17</v>
      </c>
      <c r="D12" s="3">
        <f>'[1]July 2022 (Revised)'!C13</f>
        <v>78878</v>
      </c>
      <c r="E12" s="3">
        <f>'[1]July 2022 (Revised)'!D13</f>
        <v>15101912</v>
      </c>
      <c r="F12" s="3">
        <f>'[1]July 2022 (Revised)'!J13</f>
        <v>64615</v>
      </c>
      <c r="G12" s="3">
        <f>'[1]July 2022 (Revised)'!K13/1000</f>
        <v>156913.57</v>
      </c>
      <c r="H12" s="3">
        <f>'[1]July 2022 (Revised)'!L13</f>
        <v>21577</v>
      </c>
      <c r="I12" s="3">
        <f>'[1]July 2022 (Revised)'!M13/1000</f>
        <v>60707.322999999997</v>
      </c>
      <c r="J12" s="3">
        <f>'[1]July 2022 (Revised)'!N13+'[1]July 2022 (Revised)'!P13</f>
        <v>0</v>
      </c>
      <c r="K12" s="3">
        <f>'[1]July 2022 (Revised)'!O13/1000+'[1]July 2022 (Revised)'!Q13/1000</f>
        <v>0</v>
      </c>
      <c r="L12" s="3">
        <f t="shared" si="0"/>
        <v>86192</v>
      </c>
      <c r="M12" s="3">
        <f t="shared" si="1"/>
        <v>217620.89300000001</v>
      </c>
      <c r="N12" s="3">
        <f>'[1]July 2022 (Revised)'!T13</f>
        <v>3764432</v>
      </c>
      <c r="O12" s="3">
        <f>'[1]July 2022 (Revised)'!U13/1000</f>
        <v>6702438.5863500005</v>
      </c>
      <c r="P12" s="3">
        <f>'[1]July 2022 (Revised)'!V13</f>
        <v>1121903</v>
      </c>
      <c r="Q12" s="3">
        <f>'[1]July 2022 (Revised)'!W13/1000</f>
        <v>1880929.0744100001</v>
      </c>
      <c r="R12" s="3">
        <f>'[1]July 2022 (Revised)'!X13+'[1]July 2022 (Revised)'!Z13</f>
        <v>0</v>
      </c>
      <c r="S12" s="3">
        <f>'[1]July 2022 (Revised)'!Y13/1000+'[1]July 2022 (Revised)'!AA13/1000</f>
        <v>0</v>
      </c>
      <c r="T12" s="27">
        <f t="shared" si="2"/>
        <v>4886335</v>
      </c>
      <c r="U12" s="27">
        <f t="shared" si="3"/>
        <v>8583367.6607600003</v>
      </c>
    </row>
    <row r="13" spans="1:21" x14ac:dyDescent="0.25">
      <c r="B13" s="16">
        <v>8</v>
      </c>
      <c r="C13" s="2" t="s">
        <v>18</v>
      </c>
      <c r="D13" s="3">
        <f>'[1]July 2022 (Revised)'!C14</f>
        <v>0</v>
      </c>
      <c r="E13" s="3">
        <f>'[1]July 2022 (Revised)'!D14</f>
        <v>3525744</v>
      </c>
      <c r="F13" s="3">
        <f>'[1]July 2022 (Revised)'!J14</f>
        <v>0</v>
      </c>
      <c r="G13" s="3">
        <f>'[1]July 2022 (Revised)'!K14/1000</f>
        <v>0</v>
      </c>
      <c r="H13" s="3">
        <f>'[1]July 2022 (Revised)'!L14</f>
        <v>0</v>
      </c>
      <c r="I13" s="3">
        <f>'[1]July 2022 (Revised)'!M14/1000</f>
        <v>0</v>
      </c>
      <c r="J13" s="3">
        <f>'[1]July 2022 (Revised)'!N14+'[1]July 2022 (Revised)'!P14</f>
        <v>0</v>
      </c>
      <c r="K13" s="3">
        <f>'[1]July 2022 (Revised)'!O14/1000+'[1]July 2022 (Revised)'!Q14/1000</f>
        <v>0</v>
      </c>
      <c r="L13" s="3">
        <f t="shared" si="0"/>
        <v>0</v>
      </c>
      <c r="M13" s="3">
        <f t="shared" si="1"/>
        <v>0</v>
      </c>
      <c r="N13" s="3">
        <f>'[1]July 2022 (Revised)'!T14</f>
        <v>553806</v>
      </c>
      <c r="O13" s="3">
        <f>'[1]July 2022 (Revised)'!U14/1000</f>
        <v>1111026.3974200001</v>
      </c>
      <c r="P13" s="3">
        <f>'[1]July 2022 (Revised)'!V14</f>
        <v>347351</v>
      </c>
      <c r="Q13" s="3">
        <f>'[1]July 2022 (Revised)'!W14/1000</f>
        <v>773234.96325000003</v>
      </c>
      <c r="R13" s="3">
        <f>'[1]July 2022 (Revised)'!X14+'[1]July 2022 (Revised)'!Z14</f>
        <v>0</v>
      </c>
      <c r="S13" s="3">
        <f>'[1]July 2022 (Revised)'!Y14/1000+'[1]July 2022 (Revised)'!AA14/1000</f>
        <v>0</v>
      </c>
      <c r="T13" s="27">
        <f t="shared" si="2"/>
        <v>901157</v>
      </c>
      <c r="U13" s="27">
        <f t="shared" si="3"/>
        <v>1884261.3606700001</v>
      </c>
    </row>
    <row r="14" spans="1:21" x14ac:dyDescent="0.25">
      <c r="B14" s="16">
        <v>9</v>
      </c>
      <c r="C14" s="2" t="s">
        <v>19</v>
      </c>
      <c r="D14" s="3">
        <f>'[1]July 2022 (Revised)'!C15</f>
        <v>334350</v>
      </c>
      <c r="E14" s="3">
        <f>'[1]July 2022 (Revised)'!D15</f>
        <v>46524689</v>
      </c>
      <c r="F14" s="3">
        <f>'[1]July 2022 (Revised)'!J15</f>
        <v>429276</v>
      </c>
      <c r="G14" s="3">
        <f>'[1]July 2022 (Revised)'!K15/1000</f>
        <v>1311719.5614</v>
      </c>
      <c r="H14" s="3">
        <f>'[1]July 2022 (Revised)'!L15</f>
        <v>176772</v>
      </c>
      <c r="I14" s="3">
        <f>'[1]July 2022 (Revised)'!M15/1000</f>
        <v>600418.95600000001</v>
      </c>
      <c r="J14" s="3">
        <f>'[1]July 2022 (Revised)'!N15+'[1]July 2022 (Revised)'!P15</f>
        <v>0</v>
      </c>
      <c r="K14" s="3">
        <f>'[1]July 2022 (Revised)'!O15/1000+'[1]July 2022 (Revised)'!Q15/1000</f>
        <v>0</v>
      </c>
      <c r="L14" s="3">
        <f t="shared" si="0"/>
        <v>606048</v>
      </c>
      <c r="M14" s="3">
        <f t="shared" si="1"/>
        <v>1912138.5174</v>
      </c>
      <c r="N14" s="3">
        <f>'[1]July 2022 (Revised)'!T15</f>
        <v>8318698</v>
      </c>
      <c r="O14" s="3">
        <f>'[1]July 2022 (Revised)'!U15/1000</f>
        <v>16578987.586610001</v>
      </c>
      <c r="P14" s="3">
        <f>'[1]July 2022 (Revised)'!V15</f>
        <v>5097474</v>
      </c>
      <c r="Q14" s="3">
        <f>'[1]July 2022 (Revised)'!W15/1000</f>
        <v>8974772.0460000001</v>
      </c>
      <c r="R14" s="3">
        <f>'[1]July 2022 (Revised)'!X15+'[1]July 2022 (Revised)'!Z15</f>
        <v>0</v>
      </c>
      <c r="S14" s="3">
        <f>'[1]July 2022 (Revised)'!Y15/1000+'[1]July 2022 (Revised)'!AA15/1000</f>
        <v>0</v>
      </c>
      <c r="T14" s="27">
        <f t="shared" si="2"/>
        <v>13416172</v>
      </c>
      <c r="U14" s="27">
        <f t="shared" si="3"/>
        <v>25553759.632610001</v>
      </c>
    </row>
    <row r="15" spans="1:21" x14ac:dyDescent="0.25">
      <c r="B15" s="16">
        <v>10</v>
      </c>
      <c r="C15" s="2" t="s">
        <v>20</v>
      </c>
      <c r="D15" s="3">
        <f>'[1]July 2022 (Revised)'!C16</f>
        <v>14534667</v>
      </c>
      <c r="E15" s="3">
        <f>'[1]July 2022 (Revised)'!D16</f>
        <v>274637296</v>
      </c>
      <c r="F15" s="3">
        <f>'[1]July 2022 (Revised)'!J16</f>
        <v>23252233</v>
      </c>
      <c r="G15" s="3">
        <f>'[1]July 2022 (Revised)'!K16/1000</f>
        <v>68104072.180999994</v>
      </c>
      <c r="H15" s="3">
        <f>'[1]July 2022 (Revised)'!L16</f>
        <v>18555938</v>
      </c>
      <c r="I15" s="3">
        <f>'[1]July 2022 (Revised)'!M16/1000</f>
        <v>125573667.42900001</v>
      </c>
      <c r="J15" s="3">
        <f>'[1]July 2022 (Revised)'!N16+'[1]July 2022 (Revised)'!P16</f>
        <v>0</v>
      </c>
      <c r="K15" s="3">
        <f>'[1]July 2022 (Revised)'!O16/1000+'[1]July 2022 (Revised)'!Q16/1000</f>
        <v>0</v>
      </c>
      <c r="L15" s="3">
        <f t="shared" si="0"/>
        <v>41808171</v>
      </c>
      <c r="M15" s="3">
        <f t="shared" si="1"/>
        <v>193677739.61000001</v>
      </c>
      <c r="N15" s="3">
        <f>'[1]July 2022 (Revised)'!T16</f>
        <v>58908663</v>
      </c>
      <c r="O15" s="3">
        <f>'[1]July 2022 (Revised)'!U16/1000</f>
        <v>115134647.98225001</v>
      </c>
      <c r="P15" s="3">
        <f>'[1]July 2022 (Revised)'!V16</f>
        <v>29102002</v>
      </c>
      <c r="Q15" s="3">
        <f>'[1]July 2022 (Revised)'!W16/1000</f>
        <v>51503012.101790003</v>
      </c>
      <c r="R15" s="3">
        <f>'[1]July 2022 (Revised)'!X16+'[1]July 2022 (Revised)'!Z16</f>
        <v>2035</v>
      </c>
      <c r="S15" s="3">
        <f>'[1]July 2022 (Revised)'!Y16/1000+'[1]July 2022 (Revised)'!AA16/1000</f>
        <v>25099.826579999997</v>
      </c>
      <c r="T15" s="27">
        <f t="shared" si="2"/>
        <v>88012700</v>
      </c>
      <c r="U15" s="27">
        <f t="shared" si="3"/>
        <v>166662759.91062</v>
      </c>
    </row>
    <row r="16" spans="1:21" x14ac:dyDescent="0.25">
      <c r="B16" s="16">
        <v>11</v>
      </c>
      <c r="C16" s="2" t="s">
        <v>21</v>
      </c>
      <c r="D16" s="3">
        <f>'[1]July 2022 (Revised)'!C17</f>
        <v>0</v>
      </c>
      <c r="E16" s="3">
        <f>'[1]July 2022 (Revised)'!D17</f>
        <v>11643639</v>
      </c>
      <c r="F16" s="3">
        <f>'[1]July 2022 (Revised)'!J17</f>
        <v>0</v>
      </c>
      <c r="G16" s="3">
        <f>'[1]July 2022 (Revised)'!K17/1000</f>
        <v>0</v>
      </c>
      <c r="H16" s="3">
        <f>'[1]July 2022 (Revised)'!L17</f>
        <v>0</v>
      </c>
      <c r="I16" s="3">
        <f>'[1]July 2022 (Revised)'!M17/1000</f>
        <v>0</v>
      </c>
      <c r="J16" s="3">
        <f>'[1]July 2022 (Revised)'!N17+'[1]July 2022 (Revised)'!P17</f>
        <v>0</v>
      </c>
      <c r="K16" s="3">
        <f>'[1]July 2022 (Revised)'!O17/1000+'[1]July 2022 (Revised)'!Q17/1000</f>
        <v>0</v>
      </c>
      <c r="L16" s="3">
        <f t="shared" si="0"/>
        <v>0</v>
      </c>
      <c r="M16" s="3">
        <f t="shared" si="1"/>
        <v>0</v>
      </c>
      <c r="N16" s="3">
        <f>'[1]July 2022 (Revised)'!T17</f>
        <v>1918027</v>
      </c>
      <c r="O16" s="3">
        <f>'[1]July 2022 (Revised)'!U17/1000</f>
        <v>3548020.2</v>
      </c>
      <c r="P16" s="3">
        <f>'[1]July 2022 (Revised)'!V17</f>
        <v>1015585</v>
      </c>
      <c r="Q16" s="3">
        <f>'[1]July 2022 (Revised)'!W17/1000</f>
        <v>1745968.2350000001</v>
      </c>
      <c r="R16" s="3">
        <f>'[1]July 2022 (Revised)'!X17+'[1]July 2022 (Revised)'!Z17</f>
        <v>1271</v>
      </c>
      <c r="S16" s="3">
        <f>'[1]July 2022 (Revised)'!Y17/1000+'[1]July 2022 (Revised)'!AA17/1000</f>
        <v>18338.516</v>
      </c>
      <c r="T16" s="27">
        <f t="shared" si="2"/>
        <v>2934883</v>
      </c>
      <c r="U16" s="27">
        <f t="shared" si="3"/>
        <v>5312326.9510000004</v>
      </c>
    </row>
    <row r="17" spans="2:21" x14ac:dyDescent="0.25">
      <c r="B17" s="16">
        <v>12</v>
      </c>
      <c r="C17" s="2" t="s">
        <v>22</v>
      </c>
      <c r="D17" s="3">
        <f>'[1]July 2022 (Revised)'!C18</f>
        <v>560409</v>
      </c>
      <c r="E17" s="3">
        <f>'[1]July 2022 (Revised)'!D18</f>
        <v>49339980</v>
      </c>
      <c r="F17" s="3">
        <f>'[1]July 2022 (Revised)'!J18</f>
        <v>486951</v>
      </c>
      <c r="G17" s="3">
        <f>'[1]July 2022 (Revised)'!K18/1000</f>
        <v>1500869.23893</v>
      </c>
      <c r="H17" s="3">
        <f>'[1]July 2022 (Revised)'!L18</f>
        <v>250338</v>
      </c>
      <c r="I17" s="3">
        <f>'[1]July 2022 (Revised)'!M18/1000</f>
        <v>999098.26433999999</v>
      </c>
      <c r="J17" s="3">
        <f>'[1]July 2022 (Revised)'!N18+'[1]July 2022 (Revised)'!P18</f>
        <v>0</v>
      </c>
      <c r="K17" s="3">
        <f>'[1]July 2022 (Revised)'!O18/1000+'[1]July 2022 (Revised)'!Q18/1000</f>
        <v>0</v>
      </c>
      <c r="L17" s="3">
        <f t="shared" si="0"/>
        <v>737289</v>
      </c>
      <c r="M17" s="3">
        <f t="shared" si="1"/>
        <v>2499967.5032700002</v>
      </c>
      <c r="N17" s="3">
        <f>'[1]July 2022 (Revised)'!T18</f>
        <v>10446474</v>
      </c>
      <c r="O17" s="3">
        <f>'[1]July 2022 (Revised)'!U18/1000</f>
        <v>17968749.789999999</v>
      </c>
      <c r="P17" s="3">
        <f>'[1]July 2022 (Revised)'!V18</f>
        <v>6589816</v>
      </c>
      <c r="Q17" s="3">
        <f>'[1]July 2022 (Revised)'!W18/1000</f>
        <v>10497583.561000001</v>
      </c>
      <c r="R17" s="3">
        <f>'[1]July 2022 (Revised)'!X18+'[1]July 2022 (Revised)'!Z18</f>
        <v>2257</v>
      </c>
      <c r="S17" s="3">
        <f>'[1]July 2022 (Revised)'!Y18/1000+'[1]July 2022 (Revised)'!AA18/1000</f>
        <v>8203.8739999999998</v>
      </c>
      <c r="T17" s="27">
        <f t="shared" si="2"/>
        <v>17038547</v>
      </c>
      <c r="U17" s="27">
        <f t="shared" si="3"/>
        <v>28474537.225000001</v>
      </c>
    </row>
    <row r="18" spans="2:21" x14ac:dyDescent="0.25">
      <c r="B18" s="5" t="s">
        <v>23</v>
      </c>
      <c r="C18" s="10"/>
      <c r="D18" s="1"/>
      <c r="E18" s="1"/>
      <c r="F18" s="1"/>
      <c r="G18" s="1"/>
      <c r="H18" s="1"/>
      <c r="I18" s="1"/>
      <c r="J18" s="1"/>
      <c r="K18" s="1"/>
      <c r="L18" s="3"/>
      <c r="M18" s="3"/>
      <c r="N18" s="3"/>
      <c r="O18" s="3"/>
      <c r="P18" s="3"/>
      <c r="Q18" s="3"/>
      <c r="R18" s="3"/>
      <c r="S18" s="3"/>
      <c r="T18" s="27"/>
      <c r="U18" s="27"/>
    </row>
    <row r="19" spans="2:21" x14ac:dyDescent="0.25">
      <c r="B19" s="16">
        <v>13</v>
      </c>
      <c r="C19" s="2" t="s">
        <v>24</v>
      </c>
      <c r="D19" s="3">
        <f>'[1]July 2022 (Revised)'!C19</f>
        <v>9932333</v>
      </c>
      <c r="E19" s="3">
        <f>'[1]July 2022 (Revised)'!D19</f>
        <v>29034253</v>
      </c>
      <c r="F19" s="3">
        <f>'[1]July 2022 (Revised)'!J19</f>
        <v>15514532</v>
      </c>
      <c r="G19" s="3">
        <f>'[1]July 2022 (Revised)'!K19/1000</f>
        <v>46531243.710000001</v>
      </c>
      <c r="H19" s="3">
        <f>'[1]July 2022 (Revised)'!L19</f>
        <v>11195923</v>
      </c>
      <c r="I19" s="3">
        <f>'[1]July 2022 (Revised)'!M19/1000</f>
        <v>54121093.678000003</v>
      </c>
      <c r="J19" s="3">
        <f>'[1]July 2022 (Revised)'!N19+'[1]July 2022 (Revised)'!P19</f>
        <v>0</v>
      </c>
      <c r="K19" s="3">
        <f>'[1]July 2022 (Revised)'!O19/1000+'[1]July 2022 (Revised)'!Q19/1000</f>
        <v>0</v>
      </c>
      <c r="L19" s="3">
        <f t="shared" si="0"/>
        <v>26710455</v>
      </c>
      <c r="M19" s="3">
        <f t="shared" si="1"/>
        <v>100652337.38800001</v>
      </c>
      <c r="N19" s="3">
        <f>'[1]July 2022 (Revised)'!T19</f>
        <v>12178597</v>
      </c>
      <c r="O19" s="3">
        <f>'[1]July 2022 (Revised)'!U19/1000</f>
        <v>27115687.844999999</v>
      </c>
      <c r="P19" s="3">
        <f>'[1]July 2022 (Revised)'!V19</f>
        <v>5705569</v>
      </c>
      <c r="Q19" s="3">
        <f>'[1]July 2022 (Revised)'!W19/1000</f>
        <v>17532249.528000001</v>
      </c>
      <c r="R19" s="3">
        <f>'[1]July 2022 (Revised)'!X19+'[1]July 2022 (Revised)'!Z19</f>
        <v>20684</v>
      </c>
      <c r="S19" s="3">
        <f>'[1]July 2022 (Revised)'!Y19/1000+'[1]July 2022 (Revised)'!AA19/1000</f>
        <v>511520.58694000001</v>
      </c>
      <c r="T19" s="27">
        <f t="shared" si="2"/>
        <v>17904850</v>
      </c>
      <c r="U19" s="27">
        <f t="shared" si="3"/>
        <v>45159457.959939994</v>
      </c>
    </row>
    <row r="20" spans="2:21" x14ac:dyDescent="0.25">
      <c r="B20" s="16">
        <v>14</v>
      </c>
      <c r="C20" s="2" t="s">
        <v>25</v>
      </c>
      <c r="D20" s="3">
        <f>'[1]July 2022 (Revised)'!C20</f>
        <v>0</v>
      </c>
      <c r="E20" s="3">
        <f>'[1]July 2022 (Revised)'!D20</f>
        <v>5096560</v>
      </c>
      <c r="F20" s="3">
        <f>'[1]July 2022 (Revised)'!J20</f>
        <v>0</v>
      </c>
      <c r="G20" s="3">
        <f>'[1]July 2022 (Revised)'!K20/1000</f>
        <v>0</v>
      </c>
      <c r="H20" s="3">
        <f>'[1]July 2022 (Revised)'!L20</f>
        <v>0</v>
      </c>
      <c r="I20" s="3">
        <f>'[1]July 2022 (Revised)'!M20/1000</f>
        <v>0</v>
      </c>
      <c r="J20" s="3">
        <f>'[1]July 2022 (Revised)'!N20+'[1]July 2022 (Revised)'!P20</f>
        <v>0</v>
      </c>
      <c r="K20" s="3">
        <f>'[1]July 2022 (Revised)'!O20/1000+'[1]July 2022 (Revised)'!Q20/1000</f>
        <v>0</v>
      </c>
      <c r="L20" s="3">
        <f t="shared" si="0"/>
        <v>0</v>
      </c>
      <c r="M20" s="3">
        <f t="shared" si="1"/>
        <v>0</v>
      </c>
      <c r="N20" s="3">
        <f>'[1]July 2022 (Revised)'!T20</f>
        <v>564058</v>
      </c>
      <c r="O20" s="3">
        <f>'[1]July 2022 (Revised)'!U20/1000</f>
        <v>1268998.63579</v>
      </c>
      <c r="P20" s="3">
        <f>'[1]July 2022 (Revised)'!V20</f>
        <v>306908</v>
      </c>
      <c r="Q20" s="3">
        <f>'[1]July 2022 (Revised)'!W20/1000</f>
        <v>756678.65638000006</v>
      </c>
      <c r="R20" s="3">
        <f>'[1]July 2022 (Revised)'!X20+'[1]July 2022 (Revised)'!Z20</f>
        <v>0</v>
      </c>
      <c r="S20" s="3">
        <f>'[1]July 2022 (Revised)'!Y20/1000+'[1]July 2022 (Revised)'!AA20/1000</f>
        <v>0</v>
      </c>
      <c r="T20" s="27">
        <f t="shared" si="2"/>
        <v>870966</v>
      </c>
      <c r="U20" s="27">
        <f t="shared" si="3"/>
        <v>2025677.29217</v>
      </c>
    </row>
    <row r="21" spans="2:21" x14ac:dyDescent="0.25">
      <c r="B21" s="16">
        <v>15</v>
      </c>
      <c r="C21" s="2" t="s">
        <v>26</v>
      </c>
      <c r="D21" s="3">
        <f>'[1]July 2022 (Revised)'!C21</f>
        <v>1671</v>
      </c>
      <c r="E21" s="3">
        <f>'[1]July 2022 (Revised)'!D21</f>
        <v>2623101</v>
      </c>
      <c r="F21" s="3">
        <f>'[1]July 2022 (Revised)'!J21</f>
        <v>1508</v>
      </c>
      <c r="G21" s="3">
        <f>'[1]July 2022 (Revised)'!K21/1000</f>
        <v>3897.9103999999998</v>
      </c>
      <c r="H21" s="3">
        <f>'[1]July 2022 (Revised)'!L21</f>
        <v>335</v>
      </c>
      <c r="I21" s="3">
        <f>'[1]July 2022 (Revised)'!M21/1000</f>
        <v>1060.1924299999998</v>
      </c>
      <c r="J21" s="3">
        <f>'[1]July 2022 (Revised)'!N21+'[1]July 2022 (Revised)'!P21</f>
        <v>0</v>
      </c>
      <c r="K21" s="3">
        <f>'[1]July 2022 (Revised)'!O21/1000+'[1]July 2022 (Revised)'!Q21/1000</f>
        <v>0</v>
      </c>
      <c r="L21" s="3">
        <f t="shared" si="0"/>
        <v>1843</v>
      </c>
      <c r="M21" s="3">
        <f t="shared" si="1"/>
        <v>4958.1028299999998</v>
      </c>
      <c r="N21" s="3">
        <f>'[1]July 2022 (Revised)'!T21</f>
        <v>922452</v>
      </c>
      <c r="O21" s="3">
        <f>'[1]July 2022 (Revised)'!U21/1000</f>
        <v>1733798.9548699998</v>
      </c>
      <c r="P21" s="3">
        <f>'[1]July 2022 (Revised)'!V21</f>
        <v>187973</v>
      </c>
      <c r="Q21" s="3">
        <f>'[1]July 2022 (Revised)'!W21/1000</f>
        <v>342149.67241</v>
      </c>
      <c r="R21" s="3">
        <f>'[1]July 2022 (Revised)'!X21+'[1]July 2022 (Revised)'!Z21</f>
        <v>0</v>
      </c>
      <c r="S21" s="3">
        <f>'[1]July 2022 (Revised)'!Y21/1000+'[1]July 2022 (Revised)'!AA21/1000</f>
        <v>0</v>
      </c>
      <c r="T21" s="27">
        <f t="shared" si="2"/>
        <v>1110425</v>
      </c>
      <c r="U21" s="27">
        <f t="shared" si="3"/>
        <v>2075948.6272799997</v>
      </c>
    </row>
    <row r="22" spans="2:21" x14ac:dyDescent="0.25">
      <c r="B22" s="16">
        <v>16</v>
      </c>
      <c r="C22" s="2" t="s">
        <v>27</v>
      </c>
      <c r="D22" s="3">
        <f>'[1]July 2022 (Revised)'!C22</f>
        <v>0</v>
      </c>
      <c r="E22" s="3">
        <f>'[1]July 2022 (Revised)'!D22</f>
        <v>833519</v>
      </c>
      <c r="F22" s="3">
        <f>'[1]July 2022 (Revised)'!J22</f>
        <v>0</v>
      </c>
      <c r="G22" s="3">
        <f>'[1]July 2022 (Revised)'!K22/1000</f>
        <v>0</v>
      </c>
      <c r="H22" s="3">
        <f>'[1]July 2022 (Revised)'!L22</f>
        <v>0</v>
      </c>
      <c r="I22" s="3">
        <f>'[1]July 2022 (Revised)'!M22/1000</f>
        <v>0</v>
      </c>
      <c r="J22" s="3">
        <f>'[1]July 2022 (Revised)'!N22+'[1]July 2022 (Revised)'!P22</f>
        <v>0</v>
      </c>
      <c r="K22" s="3">
        <f>'[1]July 2022 (Revised)'!O22/1000+'[1]July 2022 (Revised)'!Q22/1000</f>
        <v>0</v>
      </c>
      <c r="L22" s="3">
        <f t="shared" si="0"/>
        <v>0</v>
      </c>
      <c r="M22" s="3">
        <f t="shared" si="1"/>
        <v>0</v>
      </c>
      <c r="N22" s="3">
        <f>'[1]July 2022 (Revised)'!T22</f>
        <v>264522</v>
      </c>
      <c r="O22" s="3">
        <f>'[1]July 2022 (Revised)'!U22/1000</f>
        <v>448376.00704</v>
      </c>
      <c r="P22" s="3">
        <f>'[1]July 2022 (Revised)'!V22</f>
        <v>47562</v>
      </c>
      <c r="Q22" s="3">
        <f>'[1]July 2022 (Revised)'!W22/1000</f>
        <v>92575.220260000002</v>
      </c>
      <c r="R22" s="3">
        <f>'[1]July 2022 (Revised)'!X22+'[1]July 2022 (Revised)'!Z22</f>
        <v>2</v>
      </c>
      <c r="S22" s="3">
        <f>'[1]July 2022 (Revised)'!Y22/1000+'[1]July 2022 (Revised)'!AA22/1000</f>
        <v>0.3</v>
      </c>
      <c r="T22" s="27">
        <f t="shared" si="2"/>
        <v>312086</v>
      </c>
      <c r="U22" s="27">
        <f t="shared" si="3"/>
        <v>540951.52730000007</v>
      </c>
    </row>
    <row r="23" spans="2:21" x14ac:dyDescent="0.25">
      <c r="B23" s="16">
        <v>17</v>
      </c>
      <c r="C23" s="2" t="s">
        <v>28</v>
      </c>
      <c r="D23" s="3">
        <f>'[1]July 2022 (Revised)'!C23</f>
        <v>3469</v>
      </c>
      <c r="E23" s="3">
        <f>'[1]July 2022 (Revised)'!D23</f>
        <v>895555</v>
      </c>
      <c r="F23" s="3">
        <f>'[1]July 2022 (Revised)'!J23</f>
        <v>5914</v>
      </c>
      <c r="G23" s="3">
        <f>'[1]July 2022 (Revised)'!K23/1000</f>
        <v>13843.308000000001</v>
      </c>
      <c r="H23" s="3">
        <f>'[1]July 2022 (Revised)'!L23</f>
        <v>2417</v>
      </c>
      <c r="I23" s="3">
        <f>'[1]July 2022 (Revised)'!M23/1000</f>
        <v>11122.882</v>
      </c>
      <c r="J23" s="3">
        <f>'[1]July 2022 (Revised)'!N23+'[1]July 2022 (Revised)'!P23</f>
        <v>0</v>
      </c>
      <c r="K23" s="3">
        <f>'[1]July 2022 (Revised)'!O23/1000+'[1]July 2022 (Revised)'!Q23/1000</f>
        <v>0</v>
      </c>
      <c r="L23" s="3">
        <f t="shared" si="0"/>
        <v>8331</v>
      </c>
      <c r="M23" s="3">
        <f t="shared" si="1"/>
        <v>24966.190000000002</v>
      </c>
      <c r="N23" s="3">
        <f>'[1]July 2022 (Revised)'!T23</f>
        <v>282514</v>
      </c>
      <c r="O23" s="3">
        <f>'[1]July 2022 (Revised)'!U23/1000</f>
        <v>540237.61800000002</v>
      </c>
      <c r="P23" s="3">
        <f>'[1]July 2022 (Revised)'!V23</f>
        <v>61642</v>
      </c>
      <c r="Q23" s="3">
        <f>'[1]July 2022 (Revised)'!W23/1000</f>
        <v>200136.70499999999</v>
      </c>
      <c r="R23" s="3">
        <f>'[1]July 2022 (Revised)'!X23+'[1]July 2022 (Revised)'!Z23</f>
        <v>433</v>
      </c>
      <c r="S23" s="3">
        <f>'[1]July 2022 (Revised)'!Y23/1000+'[1]July 2022 (Revised)'!AA23/1000</f>
        <v>14002.418</v>
      </c>
      <c r="T23" s="27">
        <f t="shared" si="2"/>
        <v>344589</v>
      </c>
      <c r="U23" s="27">
        <f t="shared" si="3"/>
        <v>754376.74099999992</v>
      </c>
    </row>
    <row r="24" spans="2:21" x14ac:dyDescent="0.25">
      <c r="B24" s="16">
        <v>18</v>
      </c>
      <c r="C24" s="2" t="s">
        <v>29</v>
      </c>
      <c r="D24" s="3">
        <f>'[1]July 2022 (Revised)'!C24</f>
        <v>7645</v>
      </c>
      <c r="E24" s="3">
        <f>'[1]July 2022 (Revised)'!D24</f>
        <v>515156</v>
      </c>
      <c r="F24" s="3">
        <f>'[1]July 2022 (Revised)'!J24</f>
        <v>18374</v>
      </c>
      <c r="G24" s="3">
        <f>'[1]July 2022 (Revised)'!K24/1000</f>
        <v>38376.52147</v>
      </c>
      <c r="H24" s="3">
        <f>'[1]July 2022 (Revised)'!L24</f>
        <v>5594</v>
      </c>
      <c r="I24" s="3">
        <f>'[1]July 2022 (Revised)'!M24/1000</f>
        <v>18654.921690000003</v>
      </c>
      <c r="J24" s="3">
        <f>'[1]July 2022 (Revised)'!N24+'[1]July 2022 (Revised)'!P24</f>
        <v>4</v>
      </c>
      <c r="K24" s="3">
        <f>'[1]July 2022 (Revised)'!O24/1000+'[1]July 2022 (Revised)'!Q24/1000</f>
        <v>54.322780000000002</v>
      </c>
      <c r="L24" s="3">
        <f t="shared" si="0"/>
        <v>23972</v>
      </c>
      <c r="M24" s="3">
        <f t="shared" si="1"/>
        <v>57085.765940000005</v>
      </c>
      <c r="N24" s="3">
        <f>'[1]July 2022 (Revised)'!T24</f>
        <v>260315</v>
      </c>
      <c r="O24" s="3">
        <f>'[1]July 2022 (Revised)'!U24/1000</f>
        <v>411897.26993999997</v>
      </c>
      <c r="P24" s="3">
        <f>'[1]July 2022 (Revised)'!V24</f>
        <v>46748</v>
      </c>
      <c r="Q24" s="3">
        <f>'[1]July 2022 (Revised)'!W24/1000</f>
        <v>86798.03628</v>
      </c>
      <c r="R24" s="3">
        <f>'[1]July 2022 (Revised)'!X24+'[1]July 2022 (Revised)'!Z24</f>
        <v>0</v>
      </c>
      <c r="S24" s="3">
        <f>'[1]July 2022 (Revised)'!Y24/1000+'[1]July 2022 (Revised)'!AA24/1000</f>
        <v>0</v>
      </c>
      <c r="T24" s="27">
        <f t="shared" si="2"/>
        <v>307063</v>
      </c>
      <c r="U24" s="27">
        <f t="shared" si="3"/>
        <v>498695.30621999997</v>
      </c>
    </row>
    <row r="25" spans="2:21" x14ac:dyDescent="0.25">
      <c r="B25" s="16">
        <v>19</v>
      </c>
      <c r="C25" s="2" t="s">
        <v>30</v>
      </c>
      <c r="D25" s="3">
        <f>'[1]July 2022 (Revised)'!C25</f>
        <v>264497</v>
      </c>
      <c r="E25" s="3">
        <f>'[1]July 2022 (Revised)'!D25</f>
        <v>12437294</v>
      </c>
      <c r="F25" s="3">
        <f>'[1]July 2022 (Revised)'!J25</f>
        <v>595999</v>
      </c>
      <c r="G25" s="3">
        <f>'[1]July 2022 (Revised)'!K25/1000</f>
        <v>1914936.7609999999</v>
      </c>
      <c r="H25" s="3">
        <f>'[1]July 2022 (Revised)'!L25</f>
        <v>568934</v>
      </c>
      <c r="I25" s="3">
        <f>'[1]July 2022 (Revised)'!M25/1000</f>
        <v>3089047.054</v>
      </c>
      <c r="J25" s="3">
        <f>'[1]July 2022 (Revised)'!N25+'[1]July 2022 (Revised)'!P25</f>
        <v>0</v>
      </c>
      <c r="K25" s="3">
        <f>'[1]July 2022 (Revised)'!O25/1000+'[1]July 2022 (Revised)'!Q25/1000</f>
        <v>0</v>
      </c>
      <c r="L25" s="3">
        <f t="shared" si="0"/>
        <v>1164933</v>
      </c>
      <c r="M25" s="3">
        <f t="shared" si="1"/>
        <v>5003983.8149999995</v>
      </c>
      <c r="N25" s="3">
        <f>'[1]July 2022 (Revised)'!T25</f>
        <v>5727724</v>
      </c>
      <c r="O25" s="3">
        <f>'[1]July 2022 (Revised)'!U25/1000</f>
        <v>9972839.2589999996</v>
      </c>
      <c r="P25" s="3">
        <f>'[1]July 2022 (Revised)'!V25</f>
        <v>2124085</v>
      </c>
      <c r="Q25" s="3">
        <f>'[1]July 2022 (Revised)'!W25/1000</f>
        <v>4549081.0580000002</v>
      </c>
      <c r="R25" s="3">
        <f>'[1]July 2022 (Revised)'!X25+'[1]July 2022 (Revised)'!Z25</f>
        <v>2232</v>
      </c>
      <c r="S25" s="3">
        <f>'[1]July 2022 (Revised)'!Y25/1000+'[1]July 2022 (Revised)'!AA25/1000</f>
        <v>25108.678</v>
      </c>
      <c r="T25" s="27">
        <f t="shared" si="2"/>
        <v>7854041</v>
      </c>
      <c r="U25" s="27">
        <f t="shared" si="3"/>
        <v>14547028.994999999</v>
      </c>
    </row>
    <row r="26" spans="2:21" x14ac:dyDescent="0.25">
      <c r="B26" s="16">
        <v>20</v>
      </c>
      <c r="C26" s="2" t="s">
        <v>31</v>
      </c>
      <c r="D26" s="3">
        <f>'[1]July 2022 (Revised)'!C26</f>
        <v>17949861</v>
      </c>
      <c r="E26" s="3">
        <f>'[1]July 2022 (Revised)'!D26</f>
        <v>45803977</v>
      </c>
      <c r="F26" s="3">
        <f>'[1]July 2022 (Revised)'!J26</f>
        <v>31106524</v>
      </c>
      <c r="G26" s="3">
        <f>'[1]July 2022 (Revised)'!K26/1000</f>
        <v>118646627.68799999</v>
      </c>
      <c r="H26" s="3">
        <f>'[1]July 2022 (Revised)'!L26</f>
        <v>28419157</v>
      </c>
      <c r="I26" s="3">
        <f>'[1]July 2022 (Revised)'!M26/1000</f>
        <v>209802098.90799999</v>
      </c>
      <c r="J26" s="3">
        <f>'[1]July 2022 (Revised)'!N26+'[1]July 2022 (Revised)'!P26</f>
        <v>0</v>
      </c>
      <c r="K26" s="3">
        <f>'[1]July 2022 (Revised)'!O26/1000+'[1]July 2022 (Revised)'!Q26/1000</f>
        <v>0</v>
      </c>
      <c r="L26" s="3">
        <f t="shared" si="0"/>
        <v>59525681</v>
      </c>
      <c r="M26" s="3">
        <f t="shared" si="1"/>
        <v>328448726.59599996</v>
      </c>
      <c r="N26" s="3">
        <f>'[1]July 2022 (Revised)'!T26</f>
        <v>25061455</v>
      </c>
      <c r="O26" s="3">
        <f>'[1]July 2022 (Revised)'!U26/1000</f>
        <v>58117716.318000004</v>
      </c>
      <c r="P26" s="3">
        <f>'[1]July 2022 (Revised)'!V26</f>
        <v>17162436</v>
      </c>
      <c r="Q26" s="3">
        <f>'[1]July 2022 (Revised)'!W26/1000</f>
        <v>47619427.906999998</v>
      </c>
      <c r="R26" s="3">
        <f>'[1]July 2022 (Revised)'!X26+'[1]July 2022 (Revised)'!Z26</f>
        <v>575356</v>
      </c>
      <c r="S26" s="3">
        <f>'[1]July 2022 (Revised)'!Y26/1000+'[1]July 2022 (Revised)'!AA26/1000</f>
        <v>3337232.2710000002</v>
      </c>
      <c r="T26" s="27">
        <f t="shared" si="2"/>
        <v>42799247</v>
      </c>
      <c r="U26" s="27">
        <f t="shared" si="3"/>
        <v>109074376.49599999</v>
      </c>
    </row>
    <row r="27" spans="2:21" x14ac:dyDescent="0.25">
      <c r="B27" s="16">
        <v>21</v>
      </c>
      <c r="C27" s="2" t="s">
        <v>32</v>
      </c>
      <c r="D27" s="3">
        <f>'[1]July 2022 (Revised)'!C27</f>
        <v>13725493</v>
      </c>
      <c r="E27" s="3">
        <f>'[1]July 2022 (Revised)'!D27</f>
        <v>35712273</v>
      </c>
      <c r="F27" s="3">
        <f>'[1]July 2022 (Revised)'!J27</f>
        <v>21235622</v>
      </c>
      <c r="G27" s="3">
        <f>'[1]July 2022 (Revised)'!K27/1000</f>
        <v>76230295.82893984</v>
      </c>
      <c r="H27" s="3">
        <f>'[1]July 2022 (Revised)'!L27</f>
        <v>24997303</v>
      </c>
      <c r="I27" s="3">
        <f>'[1]July 2022 (Revised)'!M27/1000</f>
        <v>157232089.33514205</v>
      </c>
      <c r="J27" s="3">
        <f>'[1]July 2022 (Revised)'!N27+'[1]July 2022 (Revised)'!P27</f>
        <v>0</v>
      </c>
      <c r="K27" s="3">
        <f>'[1]July 2022 (Revised)'!O27/1000+'[1]July 2022 (Revised)'!Q27/1000</f>
        <v>0</v>
      </c>
      <c r="L27" s="3">
        <f t="shared" si="0"/>
        <v>46232925</v>
      </c>
      <c r="M27" s="3">
        <f t="shared" si="1"/>
        <v>233462385.16408187</v>
      </c>
      <c r="N27" s="3">
        <f>'[1]July 2022 (Revised)'!T27</f>
        <v>17163013</v>
      </c>
      <c r="O27" s="3">
        <f>'[1]July 2022 (Revised)'!U27/1000</f>
        <v>42593664.891760297</v>
      </c>
      <c r="P27" s="3">
        <f>'[1]July 2022 (Revised)'!V27</f>
        <v>6638948</v>
      </c>
      <c r="Q27" s="3">
        <f>'[1]July 2022 (Revised)'!W27/1000</f>
        <v>27082859.153079733</v>
      </c>
      <c r="R27" s="3">
        <f>'[1]July 2022 (Revised)'!X27+'[1]July 2022 (Revised)'!Z27</f>
        <v>26648</v>
      </c>
      <c r="S27" s="3">
        <f>'[1]July 2022 (Revised)'!Y27/1000+'[1]July 2022 (Revised)'!AA27/1000</f>
        <v>252042.39840000001</v>
      </c>
      <c r="T27" s="27">
        <f t="shared" si="2"/>
        <v>23828609</v>
      </c>
      <c r="U27" s="27">
        <f t="shared" si="3"/>
        <v>69928566.443240032</v>
      </c>
    </row>
    <row r="28" spans="2:21" x14ac:dyDescent="0.25">
      <c r="B28" s="16">
        <v>22</v>
      </c>
      <c r="C28" s="2" t="s">
        <v>33</v>
      </c>
      <c r="D28" s="3">
        <f>'[1]July 2022 (Revised)'!C28</f>
        <v>42508</v>
      </c>
      <c r="E28" s="3">
        <f>'[1]July 2022 (Revised)'!D28</f>
        <v>12779200</v>
      </c>
      <c r="F28" s="3">
        <f>'[1]July 2022 (Revised)'!J28</f>
        <v>67843</v>
      </c>
      <c r="G28" s="3">
        <f>'[1]July 2022 (Revised)'!K28/1000</f>
        <v>204060.3327</v>
      </c>
      <c r="H28" s="3">
        <f>'[1]July 2022 (Revised)'!L28</f>
        <v>46345</v>
      </c>
      <c r="I28" s="3">
        <f>'[1]July 2022 (Revised)'!M28/1000</f>
        <v>167407.2415</v>
      </c>
      <c r="J28" s="3">
        <f>'[1]July 2022 (Revised)'!N28+'[1]July 2022 (Revised)'!P28</f>
        <v>0</v>
      </c>
      <c r="K28" s="3">
        <f>'[1]July 2022 (Revised)'!O28/1000+'[1]July 2022 (Revised)'!Q28/1000</f>
        <v>0</v>
      </c>
      <c r="L28" s="3">
        <f t="shared" si="0"/>
        <v>114188</v>
      </c>
      <c r="M28" s="3">
        <f t="shared" si="1"/>
        <v>371467.57420000003</v>
      </c>
      <c r="N28" s="3">
        <f>'[1]July 2022 (Revised)'!T28</f>
        <v>2657426</v>
      </c>
      <c r="O28" s="3">
        <f>'[1]July 2022 (Revised)'!U28/1000</f>
        <v>5004793.0080000004</v>
      </c>
      <c r="P28" s="3">
        <f>'[1]July 2022 (Revised)'!V28</f>
        <v>828357</v>
      </c>
      <c r="Q28" s="3">
        <f>'[1]July 2022 (Revised)'!W28/1000</f>
        <v>1654087.9129999999</v>
      </c>
      <c r="R28" s="3">
        <f>'[1]July 2022 (Revised)'!X28+'[1]July 2022 (Revised)'!Z28</f>
        <v>0</v>
      </c>
      <c r="S28" s="3">
        <f>'[1]July 2022 (Revised)'!Y28/1000+'[1]July 2022 (Revised)'!AA28/1000</f>
        <v>0</v>
      </c>
      <c r="T28" s="27">
        <f t="shared" si="2"/>
        <v>3485783</v>
      </c>
      <c r="U28" s="27">
        <f t="shared" si="3"/>
        <v>6658880.9210000001</v>
      </c>
    </row>
    <row r="29" spans="2:21" x14ac:dyDescent="0.25">
      <c r="B29" s="16">
        <v>23</v>
      </c>
      <c r="C29" s="2" t="s">
        <v>34</v>
      </c>
      <c r="D29" s="3">
        <f>'[1]July 2022 (Revised)'!C29</f>
        <v>1042747</v>
      </c>
      <c r="E29" s="3">
        <f>'[1]July 2022 (Revised)'!D29</f>
        <v>4579140</v>
      </c>
      <c r="F29" s="3">
        <f>'[1]July 2022 (Revised)'!J29</f>
        <v>1513732</v>
      </c>
      <c r="G29" s="3">
        <f>'[1]July 2022 (Revised)'!K29/1000</f>
        <v>5222811.5931400005</v>
      </c>
      <c r="H29" s="3">
        <f>'[1]July 2022 (Revised)'!L29</f>
        <v>1269475</v>
      </c>
      <c r="I29" s="3">
        <f>'[1]July 2022 (Revised)'!M29/1000</f>
        <v>8475636.4321400002</v>
      </c>
      <c r="J29" s="3">
        <f>'[1]July 2022 (Revised)'!N29+'[1]July 2022 (Revised)'!P29</f>
        <v>0</v>
      </c>
      <c r="K29" s="3">
        <f>'[1]July 2022 (Revised)'!O29/1000+'[1]July 2022 (Revised)'!Q29/1000</f>
        <v>0</v>
      </c>
      <c r="L29" s="3">
        <f t="shared" si="0"/>
        <v>2783207</v>
      </c>
      <c r="M29" s="3">
        <f t="shared" si="1"/>
        <v>13698448.025280001</v>
      </c>
      <c r="N29" s="3">
        <f>'[1]July 2022 (Revised)'!T29</f>
        <v>1435524</v>
      </c>
      <c r="O29" s="3">
        <f>'[1]July 2022 (Revised)'!U29/1000</f>
        <v>2211696.6310000001</v>
      </c>
      <c r="P29" s="3">
        <f>'[1]July 2022 (Revised)'!V29</f>
        <v>450999</v>
      </c>
      <c r="Q29" s="3">
        <f>'[1]July 2022 (Revised)'!W29/1000</f>
        <v>1492307.557</v>
      </c>
      <c r="R29" s="3">
        <f>'[1]July 2022 (Revised)'!X29+'[1]July 2022 (Revised)'!Z29</f>
        <v>0</v>
      </c>
      <c r="S29" s="3">
        <f>'[1]July 2022 (Revised)'!Y29/1000+'[1]July 2022 (Revised)'!AA29/1000</f>
        <v>0</v>
      </c>
      <c r="T29" s="27">
        <f t="shared" si="2"/>
        <v>1886523</v>
      </c>
      <c r="U29" s="27">
        <f t="shared" si="3"/>
        <v>3704004.1880000001</v>
      </c>
    </row>
    <row r="30" spans="2:21" x14ac:dyDescent="0.25">
      <c r="B30" s="16">
        <v>24</v>
      </c>
      <c r="C30" s="2" t="s">
        <v>35</v>
      </c>
      <c r="D30" s="3">
        <f>'[1]July 2022 (Revised)'!C30</f>
        <v>1822569</v>
      </c>
      <c r="E30" s="3">
        <f>'[1]July 2022 (Revised)'!D30</f>
        <v>7412670</v>
      </c>
      <c r="F30" s="3">
        <f>'[1]July 2022 (Revised)'!J30</f>
        <v>2428119</v>
      </c>
      <c r="G30" s="3">
        <f>'[1]July 2022 (Revised)'!K30/1000</f>
        <v>10579315.316</v>
      </c>
      <c r="H30" s="3">
        <f>'[1]July 2022 (Revised)'!L30</f>
        <v>2634284</v>
      </c>
      <c r="I30" s="3">
        <f>'[1]July 2022 (Revised)'!M30/1000</f>
        <v>46249642.601999998</v>
      </c>
      <c r="J30" s="3">
        <f>'[1]July 2022 (Revised)'!N30+'[1]July 2022 (Revised)'!P30</f>
        <v>0</v>
      </c>
      <c r="K30" s="3">
        <f>'[1]July 2022 (Revised)'!O30/1000+'[1]July 2022 (Revised)'!Q30/1000</f>
        <v>0</v>
      </c>
      <c r="L30" s="3">
        <f t="shared" si="0"/>
        <v>5062403</v>
      </c>
      <c r="M30" s="3">
        <f t="shared" si="1"/>
        <v>56828957.917999998</v>
      </c>
      <c r="N30" s="3">
        <f>'[1]July 2022 (Revised)'!T30</f>
        <v>1680339</v>
      </c>
      <c r="O30" s="3">
        <f>'[1]July 2022 (Revised)'!U30/1000</f>
        <v>3441222.3149999999</v>
      </c>
      <c r="P30" s="3">
        <f>'[1]July 2022 (Revised)'!V30</f>
        <v>1035879</v>
      </c>
      <c r="Q30" s="3">
        <f>'[1]July 2022 (Revised)'!W30/1000</f>
        <v>3129713.0580000002</v>
      </c>
      <c r="R30" s="3">
        <f>'[1]July 2022 (Revised)'!X30+'[1]July 2022 (Revised)'!Z30</f>
        <v>946</v>
      </c>
      <c r="S30" s="3">
        <f>'[1]July 2022 (Revised)'!Y30/1000+'[1]July 2022 (Revised)'!AA30/1000</f>
        <v>56791.857799999998</v>
      </c>
      <c r="T30" s="27">
        <f t="shared" si="2"/>
        <v>2717164</v>
      </c>
      <c r="U30" s="27">
        <f t="shared" si="3"/>
        <v>6627727.2308</v>
      </c>
    </row>
    <row r="31" spans="2:21" x14ac:dyDescent="0.25">
      <c r="B31" s="16">
        <v>25</v>
      </c>
      <c r="C31" s="2" t="s">
        <v>36</v>
      </c>
      <c r="D31" s="3">
        <f>'[1]July 2022 (Revised)'!C31</f>
        <v>81101</v>
      </c>
      <c r="E31" s="3">
        <f>'[1]July 2022 (Revised)'!D31</f>
        <v>3574096</v>
      </c>
      <c r="F31" s="3">
        <f>'[1]July 2022 (Revised)'!J31</f>
        <v>122521</v>
      </c>
      <c r="G31" s="3">
        <f>'[1]July 2022 (Revised)'!K31/1000</f>
        <v>762696.28940999997</v>
      </c>
      <c r="H31" s="3">
        <f>'[1]July 2022 (Revised)'!L31</f>
        <v>100480</v>
      </c>
      <c r="I31" s="3">
        <f>'[1]July 2022 (Revised)'!M31/1000</f>
        <v>264449.75597</v>
      </c>
      <c r="J31" s="3">
        <f>'[1]July 2022 (Revised)'!N31+'[1]July 2022 (Revised)'!P31</f>
        <v>0</v>
      </c>
      <c r="K31" s="3">
        <f>'[1]July 2022 (Revised)'!O31/1000+'[1]July 2022 (Revised)'!Q31/1000</f>
        <v>0</v>
      </c>
      <c r="L31" s="3">
        <f t="shared" si="0"/>
        <v>223001</v>
      </c>
      <c r="M31" s="3">
        <f t="shared" si="1"/>
        <v>1027146.04538</v>
      </c>
      <c r="N31" s="3">
        <f>'[1]July 2022 (Revised)'!T31</f>
        <v>1168365</v>
      </c>
      <c r="O31" s="3">
        <f>'[1]July 2022 (Revised)'!U31/1000</f>
        <v>2650718.9135199999</v>
      </c>
      <c r="P31" s="3">
        <f>'[1]July 2022 (Revised)'!V31</f>
        <v>3250074</v>
      </c>
      <c r="Q31" s="3">
        <f>'[1]July 2022 (Revised)'!W31/1000</f>
        <v>1525872.3641700002</v>
      </c>
      <c r="R31" s="3">
        <f>'[1]July 2022 (Revised)'!X31+'[1]July 2022 (Revised)'!Z31</f>
        <v>0</v>
      </c>
      <c r="S31" s="3">
        <f>'[1]July 2022 (Revised)'!Y31/1000+'[1]July 2022 (Revised)'!AA31/1000</f>
        <v>0</v>
      </c>
      <c r="T31" s="27">
        <f t="shared" si="2"/>
        <v>4418439</v>
      </c>
      <c r="U31" s="27">
        <f t="shared" si="3"/>
        <v>4176591.2776899999</v>
      </c>
    </row>
    <row r="32" spans="2:21" x14ac:dyDescent="0.25">
      <c r="B32" s="16">
        <v>26</v>
      </c>
      <c r="C32" s="2" t="s">
        <v>37</v>
      </c>
      <c r="D32" s="3">
        <f>'[1]July 2022 (Revised)'!C32</f>
        <v>0</v>
      </c>
      <c r="E32" s="3">
        <f>'[1]July 2022 (Revised)'!D32</f>
        <v>5186059</v>
      </c>
      <c r="F32" s="3">
        <f>'[1]July 2022 (Revised)'!J32</f>
        <v>0</v>
      </c>
      <c r="G32" s="3">
        <f>'[1]July 2022 (Revised)'!K32/1000</f>
        <v>0</v>
      </c>
      <c r="H32" s="3">
        <f>'[1]July 2022 (Revised)'!L32</f>
        <v>0</v>
      </c>
      <c r="I32" s="3">
        <f>'[1]July 2022 (Revised)'!M32/1000</f>
        <v>0</v>
      </c>
      <c r="J32" s="3">
        <f>'[1]July 2022 (Revised)'!N32+'[1]July 2022 (Revised)'!P32</f>
        <v>0</v>
      </c>
      <c r="K32" s="3">
        <f>'[1]July 2022 (Revised)'!O32/1000+'[1]July 2022 (Revised)'!Q32/1000</f>
        <v>0</v>
      </c>
      <c r="L32" s="3">
        <f t="shared" si="0"/>
        <v>0</v>
      </c>
      <c r="M32" s="3">
        <f t="shared" si="1"/>
        <v>0</v>
      </c>
      <c r="N32" s="3">
        <f>'[1]July 2022 (Revised)'!T32</f>
        <v>1954061</v>
      </c>
      <c r="O32" s="3">
        <f>'[1]July 2022 (Revised)'!U32/1000</f>
        <v>2772802.0816100002</v>
      </c>
      <c r="P32" s="3">
        <f>'[1]July 2022 (Revised)'!V32</f>
        <v>398693</v>
      </c>
      <c r="Q32" s="3">
        <f>'[1]July 2022 (Revised)'!W32/1000</f>
        <v>643224.80501000001</v>
      </c>
      <c r="R32" s="3">
        <f>'[1]July 2022 (Revised)'!X32+'[1]July 2022 (Revised)'!Z32</f>
        <v>0</v>
      </c>
      <c r="S32" s="3">
        <f>'[1]July 2022 (Revised)'!Y32/1000+'[1]July 2022 (Revised)'!AA32/1000</f>
        <v>0</v>
      </c>
      <c r="T32" s="27">
        <f t="shared" si="2"/>
        <v>2352754</v>
      </c>
      <c r="U32" s="27">
        <f t="shared" si="3"/>
        <v>3416026.88662</v>
      </c>
    </row>
    <row r="33" spans="1:21" x14ac:dyDescent="0.25">
      <c r="B33" s="16">
        <v>27</v>
      </c>
      <c r="C33" s="2" t="s">
        <v>38</v>
      </c>
      <c r="D33" s="3">
        <f>'[1]July 2022 (Revised)'!C33</f>
        <v>9680</v>
      </c>
      <c r="E33" s="3">
        <f>'[1]July 2022 (Revised)'!D33</f>
        <v>3991619</v>
      </c>
      <c r="F33" s="3">
        <f>'[1]July 2022 (Revised)'!J33</f>
        <v>19715</v>
      </c>
      <c r="G33" s="3">
        <f>'[1]July 2022 (Revised)'!K33/1000</f>
        <v>105246.35960000001</v>
      </c>
      <c r="H33" s="3">
        <f>'[1]July 2022 (Revised)'!L33</f>
        <v>5541</v>
      </c>
      <c r="I33" s="3">
        <f>'[1]July 2022 (Revised)'!M33/1000</f>
        <v>53971.944720000007</v>
      </c>
      <c r="J33" s="3">
        <f>'[1]July 2022 (Revised)'!N33+'[1]July 2022 (Revised)'!P33</f>
        <v>0</v>
      </c>
      <c r="K33" s="3">
        <f>'[1]July 2022 (Revised)'!O33/1000+'[1]July 2022 (Revised)'!Q33/1000</f>
        <v>0</v>
      </c>
      <c r="L33" s="3">
        <f t="shared" si="0"/>
        <v>25256</v>
      </c>
      <c r="M33" s="3">
        <f t="shared" si="1"/>
        <v>159218.30432000002</v>
      </c>
      <c r="N33" s="3">
        <f>'[1]July 2022 (Revised)'!T33</f>
        <v>1975517</v>
      </c>
      <c r="O33" s="3">
        <f>'[1]July 2022 (Revised)'!U33/1000</f>
        <v>4055695.4244299987</v>
      </c>
      <c r="P33" s="3">
        <f>'[1]July 2022 (Revised)'!V33</f>
        <v>410368</v>
      </c>
      <c r="Q33" s="3">
        <f>'[1]July 2022 (Revised)'!W33/1000</f>
        <v>1135651.4587099997</v>
      </c>
      <c r="R33" s="3">
        <f>'[1]July 2022 (Revised)'!X33+'[1]July 2022 (Revised)'!Z33</f>
        <v>10337</v>
      </c>
      <c r="S33" s="3">
        <f>'[1]July 2022 (Revised)'!Y33/1000+'[1]July 2022 (Revised)'!AA33/1000</f>
        <v>206385.01647000003</v>
      </c>
      <c r="T33" s="27">
        <f t="shared" si="2"/>
        <v>2396222</v>
      </c>
      <c r="U33" s="27">
        <f t="shared" si="3"/>
        <v>5397731.8996099988</v>
      </c>
    </row>
    <row r="34" spans="1:21" x14ac:dyDescent="0.25">
      <c r="B34" s="16">
        <v>28</v>
      </c>
      <c r="C34" s="2" t="s">
        <v>39</v>
      </c>
      <c r="D34" s="3">
        <f>'[1]July 2022 (Revised)'!C34</f>
        <v>4052093</v>
      </c>
      <c r="E34" s="3">
        <f>'[1]July 2022 (Revised)'!D34</f>
        <v>24983429</v>
      </c>
      <c r="F34" s="3">
        <f>'[1]July 2022 (Revised)'!J34</f>
        <v>4441587</v>
      </c>
      <c r="G34" s="3">
        <f>'[1]July 2022 (Revised)'!K34/1000</f>
        <v>14361016.554</v>
      </c>
      <c r="H34" s="3">
        <f>'[1]July 2022 (Revised)'!L34</f>
        <v>3628302</v>
      </c>
      <c r="I34" s="3">
        <f>'[1]July 2022 (Revised)'!M34/1000</f>
        <v>21958720.866</v>
      </c>
      <c r="J34" s="3">
        <f>'[1]July 2022 (Revised)'!N34+'[1]July 2022 (Revised)'!P34</f>
        <v>0</v>
      </c>
      <c r="K34" s="3">
        <f>'[1]July 2022 (Revised)'!O34/1000+'[1]July 2022 (Revised)'!Q34/1000</f>
        <v>0</v>
      </c>
      <c r="L34" s="3">
        <f t="shared" si="0"/>
        <v>8069889</v>
      </c>
      <c r="M34" s="3">
        <f t="shared" si="1"/>
        <v>36319737.420000002</v>
      </c>
      <c r="N34" s="3">
        <f>'[1]July 2022 (Revised)'!T34</f>
        <v>5237184</v>
      </c>
      <c r="O34" s="3">
        <f>'[1]July 2022 (Revised)'!U34/1000</f>
        <v>9182085.3660000004</v>
      </c>
      <c r="P34" s="3">
        <f>'[1]July 2022 (Revised)'!V34</f>
        <v>3811352</v>
      </c>
      <c r="Q34" s="3">
        <f>'[1]July 2022 (Revised)'!W34/1000</f>
        <v>8280605.625</v>
      </c>
      <c r="R34" s="3">
        <f>'[1]July 2022 (Revised)'!X34+'[1]July 2022 (Revised)'!Z34</f>
        <v>0</v>
      </c>
      <c r="S34" s="3">
        <f>'[1]July 2022 (Revised)'!Y34/1000+'[1]July 2022 (Revised)'!AA34/1000</f>
        <v>0</v>
      </c>
      <c r="T34" s="27">
        <f t="shared" si="2"/>
        <v>9048536</v>
      </c>
      <c r="U34" s="27">
        <f t="shared" si="3"/>
        <v>17462690.991</v>
      </c>
    </row>
    <row r="35" spans="1:21" x14ac:dyDescent="0.25">
      <c r="B35" s="16">
        <v>29</v>
      </c>
      <c r="C35" s="2" t="s">
        <v>40</v>
      </c>
      <c r="D35" s="3">
        <f>'[1]July 2022 (Revised)'!C35</f>
        <v>4005255</v>
      </c>
      <c r="E35" s="3">
        <f>'[1]July 2022 (Revised)'!D35</f>
        <v>1404224</v>
      </c>
      <c r="F35" s="3">
        <f>'[1]July 2022 (Revised)'!J35</f>
        <v>5500699</v>
      </c>
      <c r="G35" s="3">
        <f>'[1]July 2022 (Revised)'!K35/1000</f>
        <v>20506676.129999999</v>
      </c>
      <c r="H35" s="3">
        <f>'[1]July 2022 (Revised)'!L35</f>
        <v>4230708</v>
      </c>
      <c r="I35" s="3">
        <f>'[1]July 2022 (Revised)'!M35/1000</f>
        <v>26244885.261999998</v>
      </c>
      <c r="J35" s="3">
        <f>'[1]July 2022 (Revised)'!N35+'[1]July 2022 (Revised)'!P35</f>
        <v>0</v>
      </c>
      <c r="K35" s="3">
        <f>'[1]July 2022 (Revised)'!O35/1000+'[1]July 2022 (Revised)'!Q35/1000</f>
        <v>0</v>
      </c>
      <c r="L35" s="3">
        <f t="shared" si="0"/>
        <v>9731407</v>
      </c>
      <c r="M35" s="3">
        <f t="shared" si="1"/>
        <v>46751561.391999997</v>
      </c>
      <c r="N35" s="3">
        <f>'[1]July 2022 (Revised)'!T35</f>
        <v>320132</v>
      </c>
      <c r="O35" s="3">
        <f>'[1]July 2022 (Revised)'!U35/1000</f>
        <v>625691.94370000006</v>
      </c>
      <c r="P35" s="3">
        <f>'[1]July 2022 (Revised)'!V35</f>
        <v>148382</v>
      </c>
      <c r="Q35" s="3">
        <f>'[1]July 2022 (Revised)'!W35/1000</f>
        <v>466511.54560000001</v>
      </c>
      <c r="R35" s="3">
        <f>'[1]July 2022 (Revised)'!X35+'[1]July 2022 (Revised)'!Z35</f>
        <v>138</v>
      </c>
      <c r="S35" s="3">
        <f>'[1]July 2022 (Revised)'!Y35/1000+'[1]July 2022 (Revised)'!AA35/1000</f>
        <v>5680.3021200000003</v>
      </c>
      <c r="T35" s="27">
        <f t="shared" si="2"/>
        <v>468652</v>
      </c>
      <c r="U35" s="27">
        <f t="shared" si="3"/>
        <v>1097883.7914199999</v>
      </c>
    </row>
    <row r="36" spans="1:21" x14ac:dyDescent="0.25">
      <c r="B36" s="16">
        <v>30</v>
      </c>
      <c r="C36" s="2" t="s">
        <v>41</v>
      </c>
      <c r="D36" s="3">
        <f>'[1]July 2022 (Revised)'!C36</f>
        <v>115538</v>
      </c>
      <c r="E36" s="3">
        <f>'[1]July 2022 (Revised)'!D36</f>
        <v>3668438</v>
      </c>
      <c r="F36" s="3">
        <f>'[1]July 2022 (Revised)'!J36</f>
        <v>319340</v>
      </c>
      <c r="G36" s="3">
        <f>'[1]July 2022 (Revised)'!K36/1000</f>
        <v>1009014.029</v>
      </c>
      <c r="H36" s="3">
        <f>'[1]July 2022 (Revised)'!L36</f>
        <v>291038</v>
      </c>
      <c r="I36" s="3">
        <f>'[1]July 2022 (Revised)'!M36/1000</f>
        <v>1659152.9950000001</v>
      </c>
      <c r="J36" s="3">
        <f>'[1]July 2022 (Revised)'!N36+'[1]July 2022 (Revised)'!P36</f>
        <v>0</v>
      </c>
      <c r="K36" s="3">
        <f>'[1]July 2022 (Revised)'!O36/1000+'[1]July 2022 (Revised)'!Q36/1000</f>
        <v>0</v>
      </c>
      <c r="L36" s="3">
        <f t="shared" si="0"/>
        <v>610378</v>
      </c>
      <c r="M36" s="3">
        <f t="shared" si="1"/>
        <v>2668167.0240000002</v>
      </c>
      <c r="N36" s="3">
        <f>'[1]July 2022 (Revised)'!T36</f>
        <v>1969550</v>
      </c>
      <c r="O36" s="3">
        <f>'[1]July 2022 (Revised)'!U36/1000</f>
        <v>3568324.8059999999</v>
      </c>
      <c r="P36" s="3">
        <f>'[1]July 2022 (Revised)'!V36</f>
        <v>424386</v>
      </c>
      <c r="Q36" s="3">
        <f>'[1]July 2022 (Revised)'!W36/1000</f>
        <v>1013287.319</v>
      </c>
      <c r="R36" s="3">
        <f>'[1]July 2022 (Revised)'!X36+'[1]July 2022 (Revised)'!Z36</f>
        <v>0</v>
      </c>
      <c r="S36" s="3">
        <f>'[1]July 2022 (Revised)'!Y36/1000+'[1]July 2022 (Revised)'!AA36/1000</f>
        <v>0</v>
      </c>
      <c r="T36" s="27">
        <f t="shared" si="2"/>
        <v>2393936</v>
      </c>
      <c r="U36" s="27">
        <f t="shared" si="3"/>
        <v>4581612.125</v>
      </c>
    </row>
    <row r="37" spans="1:21" x14ac:dyDescent="0.25">
      <c r="B37" s="16">
        <v>31</v>
      </c>
      <c r="C37" s="2" t="s">
        <v>42</v>
      </c>
      <c r="D37" s="3">
        <f>'[1]July 2022 (Revised)'!C37</f>
        <v>40991</v>
      </c>
      <c r="E37" s="3">
        <f>'[1]July 2022 (Revised)'!D37</f>
        <v>2105557</v>
      </c>
      <c r="F37" s="3">
        <f>'[1]July 2022 (Revised)'!J37</f>
        <v>49344</v>
      </c>
      <c r="G37" s="3">
        <f>'[1]July 2022 (Revised)'!K37/1000</f>
        <v>215154.11</v>
      </c>
      <c r="H37" s="3">
        <f>'[1]July 2022 (Revised)'!L37</f>
        <v>21653</v>
      </c>
      <c r="I37" s="3">
        <f>'[1]July 2022 (Revised)'!M37/1000</f>
        <v>106219.681</v>
      </c>
      <c r="J37" s="3">
        <f>'[1]July 2022 (Revised)'!N37+'[1]July 2022 (Revised)'!P37</f>
        <v>0</v>
      </c>
      <c r="K37" s="3">
        <f>'[1]July 2022 (Revised)'!O37/1000+'[1]July 2022 (Revised)'!Q37/1000</f>
        <v>0</v>
      </c>
      <c r="L37" s="3">
        <f t="shared" si="0"/>
        <v>70997</v>
      </c>
      <c r="M37" s="3">
        <f t="shared" si="1"/>
        <v>321373.79099999997</v>
      </c>
      <c r="N37" s="3">
        <f>'[1]July 2022 (Revised)'!T37</f>
        <v>486404</v>
      </c>
      <c r="O37" s="3">
        <f>'[1]July 2022 (Revised)'!U37/1000</f>
        <v>1001048.85466</v>
      </c>
      <c r="P37" s="3">
        <f>'[1]July 2022 (Revised)'!V37</f>
        <v>136359</v>
      </c>
      <c r="Q37" s="3">
        <f>'[1]July 2022 (Revised)'!W37/1000</f>
        <v>239329.04822999999</v>
      </c>
      <c r="R37" s="3">
        <f>'[1]July 2022 (Revised)'!X37+'[1]July 2022 (Revised)'!Z37</f>
        <v>123</v>
      </c>
      <c r="S37" s="3">
        <f>'[1]July 2022 (Revised)'!Y37/1000+'[1]July 2022 (Revised)'!AA37/1000</f>
        <v>353.27499999999998</v>
      </c>
      <c r="T37" s="27">
        <f t="shared" si="2"/>
        <v>622886</v>
      </c>
      <c r="U37" s="27">
        <f t="shared" si="3"/>
        <v>1240731.1778899999</v>
      </c>
    </row>
    <row r="38" spans="1:21" x14ac:dyDescent="0.25">
      <c r="B38" s="16">
        <v>32</v>
      </c>
      <c r="C38" s="2" t="s">
        <v>43</v>
      </c>
      <c r="D38" s="3">
        <f>'[1]July 2022 (Revised)'!C38</f>
        <v>1331990</v>
      </c>
      <c r="E38" s="3">
        <f>'[1]July 2022 (Revised)'!D38</f>
        <v>3958870</v>
      </c>
      <c r="F38" s="3">
        <f>'[1]July 2022 (Revised)'!J38</f>
        <v>1591393</v>
      </c>
      <c r="G38" s="3">
        <f>'[1]July 2022 (Revised)'!K38/1000</f>
        <v>4619925.72542</v>
      </c>
      <c r="H38" s="3">
        <f>'[1]July 2022 (Revised)'!L38</f>
        <v>1089753</v>
      </c>
      <c r="I38" s="3">
        <f>'[1]July 2022 (Revised)'!M38/1000</f>
        <v>7168965.0726000005</v>
      </c>
      <c r="J38" s="3">
        <f>'[1]July 2022 (Revised)'!N38+'[1]July 2022 (Revised)'!P38</f>
        <v>0</v>
      </c>
      <c r="K38" s="3">
        <f>'[1]July 2022 (Revised)'!O38/1000+'[1]July 2022 (Revised)'!Q38/1000</f>
        <v>0</v>
      </c>
      <c r="L38" s="3">
        <f t="shared" si="0"/>
        <v>2681146</v>
      </c>
      <c r="M38" s="3">
        <f t="shared" si="1"/>
        <v>11788890.798020002</v>
      </c>
      <c r="N38" s="3">
        <v>1326752</v>
      </c>
      <c r="O38" s="3">
        <v>2479897.1645900002</v>
      </c>
      <c r="P38" s="3">
        <v>685565</v>
      </c>
      <c r="Q38" s="3">
        <v>1648316.9237500001</v>
      </c>
      <c r="R38" s="3">
        <f>'[1]July 2022 (Revised)'!X38+'[1]July 2022 (Revised)'!Z38</f>
        <v>56</v>
      </c>
      <c r="S38" s="3">
        <f>'[1]July 2022 (Revised)'!Y38/1000+'[1]July 2022 (Revised)'!AA38/1000</f>
        <v>1114.277</v>
      </c>
      <c r="T38" s="27">
        <f t="shared" si="2"/>
        <v>2012373</v>
      </c>
      <c r="U38" s="27">
        <f t="shared" si="3"/>
        <v>4129328.36534</v>
      </c>
    </row>
    <row r="39" spans="1:21" x14ac:dyDescent="0.25">
      <c r="B39" s="5" t="s">
        <v>44</v>
      </c>
      <c r="C39" s="10"/>
      <c r="D39" s="1"/>
      <c r="E39" s="1"/>
      <c r="F39" s="1"/>
      <c r="G39" s="3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7"/>
      <c r="U39" s="27"/>
    </row>
    <row r="40" spans="1:21" x14ac:dyDescent="0.25">
      <c r="B40" s="16">
        <v>33</v>
      </c>
      <c r="C40" s="2" t="s">
        <v>45</v>
      </c>
      <c r="D40" s="3">
        <f>'[1]July 2022 (Revised)'!C39</f>
        <v>1356420</v>
      </c>
      <c r="E40" s="3">
        <f>'[1]July 2022 (Revised)'!D39</f>
        <v>0</v>
      </c>
      <c r="F40" s="3">
        <f>'[1]July 2022 (Revised)'!J39</f>
        <v>1005261</v>
      </c>
      <c r="G40" s="3">
        <f>'[1]July 2022 (Revised)'!K39/1000</f>
        <v>7204702.2690000003</v>
      </c>
      <c r="H40" s="3">
        <f>'[1]July 2022 (Revised)'!L39</f>
        <v>3246269</v>
      </c>
      <c r="I40" s="3">
        <f>'[1]July 2022 (Revised)'!M39/1000</f>
        <v>22976105.784000002</v>
      </c>
      <c r="J40" s="3">
        <f>'[1]July 2022 (Revised)'!N39+'[1]July 2022 (Revised)'!P39</f>
        <v>0</v>
      </c>
      <c r="K40" s="3">
        <f>'[1]July 2022 (Revised)'!O39/1000+'[1]July 2022 (Revised)'!Q39/1000</f>
        <v>0</v>
      </c>
      <c r="L40" s="3">
        <f t="shared" si="0"/>
        <v>4251530</v>
      </c>
      <c r="M40" s="3">
        <f t="shared" si="1"/>
        <v>30180808.053000003</v>
      </c>
      <c r="N40" s="3">
        <f>'[1]July 2022 (Revised)'!T39</f>
        <v>0</v>
      </c>
      <c r="O40" s="3">
        <f>'[1]July 2022 (Revised)'!U39/1000</f>
        <v>0</v>
      </c>
      <c r="P40" s="3">
        <f>'[1]July 2022 (Revised)'!V39</f>
        <v>0</v>
      </c>
      <c r="Q40" s="3">
        <f>'[1]July 2022 (Revised)'!W39/1000</f>
        <v>0</v>
      </c>
      <c r="R40" s="3">
        <f>'[1]July 2022 (Revised)'!X39+'[1]July 2022 (Revised)'!Z39</f>
        <v>0</v>
      </c>
      <c r="S40" s="3">
        <f>'[1]July 2022 (Revised)'!Y39/1000+'[1]July 2022 (Revised)'!AA39/1000</f>
        <v>0</v>
      </c>
      <c r="T40" s="27">
        <f t="shared" si="2"/>
        <v>0</v>
      </c>
      <c r="U40" s="27">
        <f t="shared" si="3"/>
        <v>0</v>
      </c>
    </row>
    <row r="41" spans="1:21" x14ac:dyDescent="0.25">
      <c r="B41" s="16">
        <v>34</v>
      </c>
      <c r="C41" s="2" t="s">
        <v>46</v>
      </c>
      <c r="D41" s="3">
        <f>'[1]July 2022 (Revised)'!C40</f>
        <v>21092</v>
      </c>
      <c r="E41" s="3">
        <f>'[1]July 2022 (Revised)'!D40</f>
        <v>0</v>
      </c>
      <c r="F41" s="3">
        <f>'[1]July 2022 (Revised)'!J40</f>
        <v>29471</v>
      </c>
      <c r="G41" s="3">
        <f>'[1]July 2022 (Revised)'!K40/1000</f>
        <v>125099.09194999999</v>
      </c>
      <c r="H41" s="3">
        <f>'[1]July 2022 (Revised)'!L40</f>
        <v>13528</v>
      </c>
      <c r="I41" s="3">
        <f>'[1]July 2022 (Revised)'!M40/1000</f>
        <v>171900.57734999998</v>
      </c>
      <c r="J41" s="3">
        <f>'[1]July 2022 (Revised)'!N40+'[1]July 2022 (Revised)'!P40</f>
        <v>0</v>
      </c>
      <c r="K41" s="3">
        <f>'[1]July 2022 (Revised)'!O40/1000+'[1]July 2022 (Revised)'!Q40/1000</f>
        <v>0</v>
      </c>
      <c r="L41" s="3">
        <f t="shared" si="0"/>
        <v>42999</v>
      </c>
      <c r="M41" s="3">
        <f t="shared" si="1"/>
        <v>296999.66929999995</v>
      </c>
      <c r="N41" s="3">
        <f>'[1]July 2022 (Revised)'!T40</f>
        <v>0</v>
      </c>
      <c r="O41" s="3">
        <f>'[1]July 2022 (Revised)'!U40/1000</f>
        <v>0</v>
      </c>
      <c r="P41" s="3">
        <f>'[1]July 2022 (Revised)'!V40</f>
        <v>0</v>
      </c>
      <c r="Q41" s="3">
        <f>'[1]July 2022 (Revised)'!W40/1000</f>
        <v>0</v>
      </c>
      <c r="R41" s="3">
        <f>'[1]July 2022 (Revised)'!X40+'[1]July 2022 (Revised)'!Z40</f>
        <v>0</v>
      </c>
      <c r="S41" s="3">
        <f>'[1]July 2022 (Revised)'!Y40/1000+'[1]July 2022 (Revised)'!AA40/1000</f>
        <v>0</v>
      </c>
      <c r="T41" s="27">
        <f t="shared" si="2"/>
        <v>0</v>
      </c>
      <c r="U41" s="27">
        <f t="shared" si="3"/>
        <v>0</v>
      </c>
    </row>
    <row r="42" spans="1:21" x14ac:dyDescent="0.25">
      <c r="B42" s="16">
        <v>35</v>
      </c>
      <c r="C42" s="2" t="s">
        <v>47</v>
      </c>
      <c r="D42" s="3">
        <f>'[1]July 2022 (Revised)'!C41</f>
        <v>0</v>
      </c>
      <c r="E42" s="3">
        <f>'[1]July 2022 (Revised)'!D41</f>
        <v>1645</v>
      </c>
      <c r="F42" s="3">
        <f>'[1]July 2022 (Revised)'!J41</f>
        <v>0</v>
      </c>
      <c r="G42" s="3">
        <f>'[1]July 2022 (Revised)'!K41/1000</f>
        <v>0</v>
      </c>
      <c r="H42" s="3">
        <f>'[1]July 2022 (Revised)'!L41</f>
        <v>0</v>
      </c>
      <c r="I42" s="3">
        <f>'[1]July 2022 (Revised)'!M41/1000</f>
        <v>0</v>
      </c>
      <c r="J42" s="3">
        <f>'[1]July 2022 (Revised)'!N41+'[1]July 2022 (Revised)'!P41</f>
        <v>0</v>
      </c>
      <c r="K42" s="3">
        <f>'[1]July 2022 (Revised)'!O41/1000+'[1]July 2022 (Revised)'!Q41/1000</f>
        <v>0</v>
      </c>
      <c r="L42" s="3">
        <f t="shared" si="0"/>
        <v>0</v>
      </c>
      <c r="M42" s="3">
        <f t="shared" si="1"/>
        <v>0</v>
      </c>
      <c r="N42" s="3">
        <f>'[1]July 2022 (Revised)'!T41</f>
        <v>50</v>
      </c>
      <c r="O42" s="3">
        <f>'[1]July 2022 (Revised)'!U41/1000</f>
        <v>211.53800000000001</v>
      </c>
      <c r="P42" s="3">
        <f>'[1]July 2022 (Revised)'!V41</f>
        <v>19</v>
      </c>
      <c r="Q42" s="3">
        <f>'[1]July 2022 (Revised)'!W41/1000</f>
        <v>14.129799999999999</v>
      </c>
      <c r="R42" s="3">
        <f>'[1]July 2022 (Revised)'!X41+'[1]July 2022 (Revised)'!Z41</f>
        <v>0</v>
      </c>
      <c r="S42" s="3">
        <f>'[1]July 2022 (Revised)'!Y41/1000+'[1]July 2022 (Revised)'!AA41/1000</f>
        <v>0</v>
      </c>
      <c r="T42" s="27">
        <f t="shared" si="2"/>
        <v>69</v>
      </c>
      <c r="U42" s="27">
        <f t="shared" si="3"/>
        <v>225.6678</v>
      </c>
    </row>
    <row r="43" spans="1:21" x14ac:dyDescent="0.25">
      <c r="B43" s="16">
        <v>36</v>
      </c>
      <c r="C43" s="2" t="s">
        <v>48</v>
      </c>
      <c r="D43" s="3">
        <f>'[1]July 2022 (Revised)'!C42</f>
        <v>2545671</v>
      </c>
      <c r="E43" s="3">
        <f>'[1]July 2022 (Revised)'!D42</f>
        <v>1333354</v>
      </c>
      <c r="F43" s="3">
        <f>'[1]July 2022 (Revised)'!J42</f>
        <v>6427826</v>
      </c>
      <c r="G43" s="3">
        <f>'[1]July 2022 (Revised)'!K42/1000</f>
        <v>17346416.2247</v>
      </c>
      <c r="H43" s="3">
        <f>'[1]July 2022 (Revised)'!L42</f>
        <v>5721055</v>
      </c>
      <c r="I43" s="3">
        <f>'[1]July 2022 (Revised)'!M42/1000</f>
        <v>24657323.492259998</v>
      </c>
      <c r="J43" s="3">
        <f>'[1]July 2022 (Revised)'!N42+'[1]July 2022 (Revised)'!P42</f>
        <v>0</v>
      </c>
      <c r="K43" s="3">
        <f>'[1]July 2022 (Revised)'!O42/1000+'[1]July 2022 (Revised)'!Q42/1000</f>
        <v>0</v>
      </c>
      <c r="L43" s="3">
        <f t="shared" si="0"/>
        <v>12148881</v>
      </c>
      <c r="M43" s="3">
        <f t="shared" si="1"/>
        <v>42003739.716959998</v>
      </c>
      <c r="N43" s="3">
        <f>'[1]July 2022 (Revised)'!T42</f>
        <v>972795</v>
      </c>
      <c r="O43" s="3">
        <f>'[1]July 2022 (Revised)'!U42/1000</f>
        <v>2416645.79587</v>
      </c>
      <c r="P43" s="3">
        <f>'[1]July 2022 (Revised)'!V42</f>
        <v>988675</v>
      </c>
      <c r="Q43" s="3">
        <f>'[1]July 2022 (Revised)'!W42/1000</f>
        <v>2907840.2211000002</v>
      </c>
      <c r="R43" s="3">
        <f>'[1]July 2022 (Revised)'!X42+'[1]July 2022 (Revised)'!Z42</f>
        <v>0</v>
      </c>
      <c r="S43" s="3">
        <f>'[1]July 2022 (Revised)'!Y42/1000+'[1]July 2022 (Revised)'!AA42/1000</f>
        <v>0</v>
      </c>
      <c r="T43" s="27">
        <f t="shared" si="2"/>
        <v>1961470</v>
      </c>
      <c r="U43" s="27">
        <f t="shared" si="3"/>
        <v>5324486.0169700002</v>
      </c>
    </row>
    <row r="44" spans="1:21" x14ac:dyDescent="0.25">
      <c r="B44" s="16">
        <v>37</v>
      </c>
      <c r="C44" s="2" t="s">
        <v>49</v>
      </c>
      <c r="D44" s="3">
        <f>'[1]July 2022 (Revised)'!C43</f>
        <v>34686</v>
      </c>
      <c r="E44" s="3">
        <f>'[1]July 2022 (Revised)'!D43</f>
        <v>2038403</v>
      </c>
      <c r="F44" s="3">
        <f>'[1]July 2022 (Revised)'!J43</f>
        <v>33022</v>
      </c>
      <c r="G44" s="3">
        <f>'[1]July 2022 (Revised)'!K43/1000</f>
        <v>113664.88695</v>
      </c>
      <c r="H44" s="3">
        <f>'[1]July 2022 (Revised)'!L43</f>
        <v>22266</v>
      </c>
      <c r="I44" s="3">
        <f>'[1]July 2022 (Revised)'!M43/1000</f>
        <v>167807.90788999997</v>
      </c>
      <c r="J44" s="3">
        <f>'[1]July 2022 (Revised)'!N43+'[1]July 2022 (Revised)'!P43</f>
        <v>0</v>
      </c>
      <c r="K44" s="3">
        <f>'[1]July 2022 (Revised)'!O43/1000+'[1]July 2022 (Revised)'!Q43/1000</f>
        <v>0</v>
      </c>
      <c r="L44" s="3">
        <f t="shared" si="0"/>
        <v>55288</v>
      </c>
      <c r="M44" s="3">
        <f t="shared" si="1"/>
        <v>281472.79483999999</v>
      </c>
      <c r="N44" s="3">
        <f>'[1]July 2022 (Revised)'!T43</f>
        <v>649780</v>
      </c>
      <c r="O44" s="3">
        <f>'[1]July 2022 (Revised)'!U43/1000</f>
        <v>952846.37138999999</v>
      </c>
      <c r="P44" s="3">
        <f>'[1]July 2022 (Revised)'!V43</f>
        <v>262948</v>
      </c>
      <c r="Q44" s="3">
        <f>'[1]July 2022 (Revised)'!W43/1000</f>
        <v>483032.69485000003</v>
      </c>
      <c r="R44" s="3">
        <f>'[1]July 2022 (Revised)'!X43+'[1]July 2022 (Revised)'!Z43</f>
        <v>441</v>
      </c>
      <c r="S44" s="3">
        <f>'[1]July 2022 (Revised)'!Y43/1000+'[1]July 2022 (Revised)'!AA43/1000</f>
        <v>7276.3180000000002</v>
      </c>
      <c r="T44" s="27">
        <f t="shared" si="2"/>
        <v>913169</v>
      </c>
      <c r="U44" s="27">
        <f t="shared" si="3"/>
        <v>1443155.38424</v>
      </c>
    </row>
    <row r="45" spans="1:21" x14ac:dyDescent="0.25">
      <c r="B45" s="16">
        <v>38</v>
      </c>
      <c r="C45" s="2" t="s">
        <v>50</v>
      </c>
      <c r="D45" s="3">
        <f>'[1]July 2022 (Revised)'!C44</f>
        <v>0</v>
      </c>
      <c r="E45" s="3">
        <f>'[1]July 2022 (Revised)'!D44</f>
        <v>121353</v>
      </c>
      <c r="F45" s="3">
        <f>'[1]July 2022 (Revised)'!J44</f>
        <v>0</v>
      </c>
      <c r="G45" s="3">
        <f>'[1]July 2022 (Revised)'!K44/1000</f>
        <v>0</v>
      </c>
      <c r="H45" s="3">
        <f>'[1]July 2022 (Revised)'!L44</f>
        <v>0</v>
      </c>
      <c r="I45" s="3">
        <f>'[1]July 2022 (Revised)'!M44/1000</f>
        <v>0</v>
      </c>
      <c r="J45" s="3">
        <f>'[1]July 2022 (Revised)'!N44+'[1]July 2022 (Revised)'!P44</f>
        <v>0</v>
      </c>
      <c r="K45" s="3">
        <f>'[1]July 2022 (Revised)'!O44/1000+'[1]July 2022 (Revised)'!Q44/1000</f>
        <v>0</v>
      </c>
      <c r="L45" s="3">
        <f t="shared" si="0"/>
        <v>0</v>
      </c>
      <c r="M45" s="3">
        <f t="shared" si="1"/>
        <v>0</v>
      </c>
      <c r="N45" s="3">
        <f>'[1]July 2022 (Revised)'!T44</f>
        <v>66553</v>
      </c>
      <c r="O45" s="3">
        <f>'[1]July 2022 (Revised)'!U44/1000</f>
        <v>163656.93610999957</v>
      </c>
      <c r="P45" s="3">
        <f>'[1]July 2022 (Revised)'!V44</f>
        <v>26256</v>
      </c>
      <c r="Q45" s="3">
        <f>'[1]July 2022 (Revised)'!W44/1000</f>
        <v>77109.086230000001</v>
      </c>
      <c r="R45" s="3">
        <f>'[1]July 2022 (Revised)'!X44+'[1]July 2022 (Revised)'!Z44</f>
        <v>0</v>
      </c>
      <c r="S45" s="3">
        <f>'[1]July 2022 (Revised)'!Y44/1000+'[1]July 2022 (Revised)'!AA44/1000</f>
        <v>0</v>
      </c>
      <c r="T45" s="27">
        <f t="shared" si="2"/>
        <v>92809</v>
      </c>
      <c r="U45" s="27">
        <f t="shared" si="3"/>
        <v>240766.02233999956</v>
      </c>
    </row>
    <row r="46" spans="1:21" x14ac:dyDescent="0.25">
      <c r="B46" s="16">
        <v>39</v>
      </c>
      <c r="C46" s="2" t="s">
        <v>51</v>
      </c>
      <c r="D46" s="3">
        <f>'[1]July 2022 (Revised)'!C45</f>
        <v>762067</v>
      </c>
      <c r="E46" s="3">
        <f>'[1]July 2022 (Revised)'!D45</f>
        <v>530747</v>
      </c>
      <c r="F46" s="3">
        <f>'[1]July 2022 (Revised)'!J45</f>
        <v>664528</v>
      </c>
      <c r="G46" s="3">
        <f>'[1]July 2022 (Revised)'!K45/1000</f>
        <v>3621771.76137</v>
      </c>
      <c r="H46" s="3">
        <f>'[1]July 2022 (Revised)'!L45</f>
        <v>1055283</v>
      </c>
      <c r="I46" s="3">
        <f>'[1]July 2022 (Revised)'!M45/1000</f>
        <v>3878482.8190000001</v>
      </c>
      <c r="J46" s="3">
        <f>'[1]July 2022 (Revised)'!N45+'[1]July 2022 (Revised)'!P45</f>
        <v>0</v>
      </c>
      <c r="K46" s="3">
        <f>'[1]July 2022 (Revised)'!O45/1000+'[1]July 2022 (Revised)'!Q45/1000</f>
        <v>0</v>
      </c>
      <c r="L46" s="3">
        <f t="shared" si="0"/>
        <v>1719811</v>
      </c>
      <c r="M46" s="3">
        <f t="shared" si="1"/>
        <v>7500254.5803699996</v>
      </c>
      <c r="N46" s="3">
        <f>'[1]July 2022 (Revised)'!T45</f>
        <v>383322</v>
      </c>
      <c r="O46" s="3">
        <f>'[1]July 2022 (Revised)'!U45/1000</f>
        <v>1095028.8880399999</v>
      </c>
      <c r="P46" s="3">
        <f>'[1]July 2022 (Revised)'!V45</f>
        <v>0</v>
      </c>
      <c r="Q46" s="3">
        <f>'[1]July 2022 (Revised)'!W45/1000</f>
        <v>0</v>
      </c>
      <c r="R46" s="3">
        <f>'[1]July 2022 (Revised)'!X45+'[1]July 2022 (Revised)'!Z45</f>
        <v>0</v>
      </c>
      <c r="S46" s="3">
        <f>'[1]July 2022 (Revised)'!Y45/1000+'[1]July 2022 (Revised)'!AA45/1000</f>
        <v>0</v>
      </c>
      <c r="T46" s="27">
        <f t="shared" si="2"/>
        <v>383322</v>
      </c>
      <c r="U46" s="27">
        <f t="shared" si="3"/>
        <v>1095028.8880399999</v>
      </c>
    </row>
    <row r="47" spans="1:21" x14ac:dyDescent="0.25">
      <c r="A47" s="8" t="s">
        <v>52</v>
      </c>
      <c r="B47" s="16">
        <v>40</v>
      </c>
      <c r="C47" s="2" t="s">
        <v>53</v>
      </c>
      <c r="D47" s="3">
        <f>'[1]July 2022 (Revised)'!C46</f>
        <v>1275573</v>
      </c>
      <c r="E47" s="3">
        <f>'[1]July 2022 (Revised)'!D46</f>
        <v>134661</v>
      </c>
      <c r="F47" s="3">
        <f>'[1]July 2022 (Revised)'!J46</f>
        <v>510945</v>
      </c>
      <c r="G47" s="3">
        <f>'[1]July 2022 (Revised)'!K46/1000</f>
        <v>2386880.182</v>
      </c>
      <c r="H47" s="3">
        <f>'[1]July 2022 (Revised)'!L46</f>
        <v>1429038</v>
      </c>
      <c r="I47" s="3">
        <f>'[1]July 2022 (Revised)'!M46/1000</f>
        <v>7030080.5470000003</v>
      </c>
      <c r="J47" s="3">
        <f>'[1]July 2022 (Revised)'!N46+'[1]July 2022 (Revised)'!P46</f>
        <v>0</v>
      </c>
      <c r="K47" s="3">
        <f>'[1]July 2022 (Revised)'!O46/1000+'[1]July 2022 (Revised)'!Q46/1000</f>
        <v>0</v>
      </c>
      <c r="L47" s="3">
        <f t="shared" si="0"/>
        <v>1939983</v>
      </c>
      <c r="M47" s="3">
        <f t="shared" si="1"/>
        <v>9416960.7290000003</v>
      </c>
      <c r="N47" s="3">
        <f>'[1]July 2022 (Revised)'!T46</f>
        <v>7516</v>
      </c>
      <c r="O47" s="3">
        <f>'[1]July 2022 (Revised)'!U46/1000</f>
        <v>15774.655167500001</v>
      </c>
      <c r="P47" s="3">
        <f>'[1]July 2022 (Revised)'!V46</f>
        <v>20762</v>
      </c>
      <c r="Q47" s="3">
        <f>'[1]July 2022 (Revised)'!W46/1000</f>
        <v>42366.501052500003</v>
      </c>
      <c r="R47" s="3">
        <f>'[1]July 2022 (Revised)'!X46+'[1]July 2022 (Revised)'!Z46</f>
        <v>0</v>
      </c>
      <c r="S47" s="3">
        <f>'[1]July 2022 (Revised)'!Y46/1000+'[1]July 2022 (Revised)'!AA46/1000</f>
        <v>0</v>
      </c>
      <c r="T47" s="27">
        <f t="shared" si="2"/>
        <v>28278</v>
      </c>
      <c r="U47" s="27">
        <f t="shared" si="3"/>
        <v>58141.156220000004</v>
      </c>
    </row>
    <row r="48" spans="1:21" x14ac:dyDescent="0.25">
      <c r="B48" s="16">
        <v>41</v>
      </c>
      <c r="C48" s="10" t="s">
        <v>54</v>
      </c>
      <c r="D48" s="3">
        <f>'[1]July 2022 (Revised)'!C47</f>
        <v>1321772</v>
      </c>
      <c r="E48" s="3">
        <f>'[1]July 2022 (Revised)'!D47</f>
        <v>1166145</v>
      </c>
      <c r="F48" s="3">
        <f>'[1]July 2022 (Revised)'!J47</f>
        <v>1617835</v>
      </c>
      <c r="G48" s="3">
        <f>'[1]July 2022 (Revised)'!K47/1000</f>
        <v>4840811.7340000002</v>
      </c>
      <c r="H48" s="3">
        <f>'[1]July 2022 (Revised)'!L47</f>
        <v>1381403</v>
      </c>
      <c r="I48" s="3">
        <f>'[1]July 2022 (Revised)'!M47/1000</f>
        <v>6461998.9589999998</v>
      </c>
      <c r="J48" s="3">
        <f>'[1]July 2022 (Revised)'!N47+'[1]July 2022 (Revised)'!P47</f>
        <v>0</v>
      </c>
      <c r="K48" s="3">
        <f>'[1]July 2022 (Revised)'!O47/1000+'[1]July 2022 (Revised)'!Q47/1000</f>
        <v>0</v>
      </c>
      <c r="L48" s="3">
        <f t="shared" si="0"/>
        <v>2999238</v>
      </c>
      <c r="M48" s="3">
        <f t="shared" si="1"/>
        <v>11302810.693</v>
      </c>
      <c r="N48" s="3">
        <f>'[1]July 2022 (Revised)'!T47</f>
        <v>911279</v>
      </c>
      <c r="O48" s="3">
        <f>'[1]July 2022 (Revised)'!U47/1000</f>
        <v>2192401.8480000002</v>
      </c>
      <c r="P48" s="3">
        <f>'[1]July 2022 (Revised)'!V47</f>
        <v>546969</v>
      </c>
      <c r="Q48" s="3">
        <f>'[1]July 2022 (Revised)'!W47/1000</f>
        <v>1141747.8829999999</v>
      </c>
      <c r="R48" s="3">
        <f>'[1]July 2022 (Revised)'!X47+'[1]July 2022 (Revised)'!Z47</f>
        <v>35</v>
      </c>
      <c r="S48" s="3">
        <f>'[1]July 2022 (Revised)'!Y47/1000+'[1]July 2022 (Revised)'!AA47/1000</f>
        <v>622.65300000000002</v>
      </c>
      <c r="T48" s="27">
        <f t="shared" si="2"/>
        <v>1458283</v>
      </c>
      <c r="U48" s="27">
        <f t="shared" si="3"/>
        <v>3334772.3840000001</v>
      </c>
    </row>
    <row r="49" spans="1:21" s="14" customFormat="1" x14ac:dyDescent="0.25">
      <c r="A49" s="13"/>
      <c r="B49" s="17" t="s">
        <v>55</v>
      </c>
      <c r="C49" s="18"/>
      <c r="D49" s="6">
        <f>SUM(D6:D48)</f>
        <v>79981066</v>
      </c>
      <c r="E49" s="6">
        <f>SUM(E6:E48)</f>
        <v>849696473</v>
      </c>
      <c r="F49" s="6">
        <f>SUM(F6:F48)</f>
        <v>121669601</v>
      </c>
      <c r="G49" s="6">
        <f>SUM(G6:G48)</f>
        <v>415578854.87520981</v>
      </c>
      <c r="H49" s="6">
        <f>SUM(H6:H48)</f>
        <v>112453603</v>
      </c>
      <c r="I49" s="6">
        <f>SUM(I6:I48)</f>
        <v>738661287.95852208</v>
      </c>
      <c r="J49" s="6">
        <f>SUM(J6:J48)</f>
        <v>4</v>
      </c>
      <c r="K49" s="6">
        <f>SUM(K6:K48)</f>
        <v>54.322780000000002</v>
      </c>
      <c r="L49" s="26">
        <f t="shared" si="0"/>
        <v>234123208</v>
      </c>
      <c r="M49" s="26">
        <f t="shared" si="1"/>
        <v>1154240197.1565118</v>
      </c>
      <c r="N49" s="6">
        <f>SUM(N6:N48)</f>
        <v>202917031</v>
      </c>
      <c r="O49" s="6">
        <f>SUM(O6:O48)</f>
        <v>408481455.44623774</v>
      </c>
      <c r="P49" s="6">
        <f>SUM(P6:P48)</f>
        <v>104306241</v>
      </c>
      <c r="Q49" s="6">
        <f>SUM(Q6:Q48)</f>
        <v>224407133.2733022</v>
      </c>
      <c r="R49" s="6">
        <f>SUM(R6:R48)</f>
        <v>661174</v>
      </c>
      <c r="S49" s="6">
        <f>SUM(S6:S48)</f>
        <v>4708141.8069900014</v>
      </c>
      <c r="T49" s="27">
        <f t="shared" si="2"/>
        <v>307884446</v>
      </c>
      <c r="U49" s="27">
        <f t="shared" si="3"/>
        <v>637596730.52652991</v>
      </c>
    </row>
    <row r="50" spans="1:21" x14ac:dyDescent="0.25">
      <c r="A50" s="15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7"/>
      <c r="U50" s="27"/>
    </row>
  </sheetData>
  <mergeCells count="19">
    <mergeCell ref="F1:M1"/>
    <mergeCell ref="F2:M2"/>
    <mergeCell ref="L3:M3"/>
    <mergeCell ref="T3:U3"/>
    <mergeCell ref="N1:U1"/>
    <mergeCell ref="N2:U2"/>
    <mergeCell ref="F3:G3"/>
    <mergeCell ref="H3:I3"/>
    <mergeCell ref="J3:K3"/>
    <mergeCell ref="N3:O3"/>
    <mergeCell ref="P3:Q3"/>
    <mergeCell ref="R3:S3"/>
    <mergeCell ref="D2:D4"/>
    <mergeCell ref="E2:E4"/>
    <mergeCell ref="B49:C49"/>
    <mergeCell ref="B50:S50"/>
    <mergeCell ref="B1:B4"/>
    <mergeCell ref="C1:C4"/>
    <mergeCell ref="D1:E1"/>
  </mergeCells>
  <pageMargins left="3.937007874015748E-2" right="3.937007874015748E-2" top="0.11811023622047245" bottom="3.937007874015748E-2" header="7.874015748031496E-2" footer="0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2022-10-18T14:53:29Z</cp:lastPrinted>
  <dcterms:created xsi:type="dcterms:W3CDTF">2022-10-14T05:37:07Z</dcterms:created>
  <dcterms:modified xsi:type="dcterms:W3CDTF">2023-07-18T17:13:10Z</dcterms:modified>
</cp:coreProperties>
</file>