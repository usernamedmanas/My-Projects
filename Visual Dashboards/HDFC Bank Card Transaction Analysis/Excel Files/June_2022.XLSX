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Data Portfolio Project\HDFC Bank Card Transaction Analysis\Excel Files\"/>
    </mc:Choice>
  </mc:AlternateContent>
  <xr:revisionPtr revIDLastSave="0" documentId="13_ncr:1_{6F749622-46A2-4761-BA84-4EA5FC4B40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une 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1" l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U7" i="1"/>
  <c r="T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M7" i="1"/>
  <c r="L7" i="1"/>
  <c r="S50" i="1"/>
  <c r="R50" i="1"/>
  <c r="Q50" i="1"/>
  <c r="P50" i="1"/>
  <c r="O50" i="1"/>
  <c r="N50" i="1"/>
  <c r="K50" i="1"/>
  <c r="J50" i="1"/>
  <c r="I50" i="1"/>
  <c r="H50" i="1"/>
  <c r="G50" i="1"/>
  <c r="F50" i="1"/>
  <c r="E50" i="1"/>
  <c r="D50" i="1"/>
</calcChain>
</file>

<file path=xl/sharedStrings.xml><?xml version="1.0" encoding="utf-8"?>
<sst xmlns="http://schemas.openxmlformats.org/spreadsheetml/2006/main" count="79" uniqueCount="59">
  <si>
    <t>Sr. No.</t>
  </si>
  <si>
    <t>Bank Name</t>
  </si>
  <si>
    <t>Card Payments and Cash Withdrawal Transactions during the month</t>
  </si>
  <si>
    <t>Credit Card</t>
  </si>
  <si>
    <t>Debit Card</t>
  </si>
  <si>
    <t>Credit Cards</t>
  </si>
  <si>
    <t>Debit Cards</t>
  </si>
  <si>
    <t>Card Payments Transactions</t>
  </si>
  <si>
    <t>at PoS</t>
  </si>
  <si>
    <t>Online (e-com)</t>
  </si>
  <si>
    <t>Others</t>
  </si>
  <si>
    <t>Volume (in actuals)</t>
  </si>
  <si>
    <t>Value (in Rs'000)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</si>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</sst>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2" borderId="2" xfId="2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left"/>
      <protection locked="0"/>
    </xf>
    <xf numFmtId="1" fontId="2" fillId="2" borderId="2" xfId="0" applyNumberFormat="1" applyFont="1" applyFill="1" applyBorder="1"/>
    <xf numFmtId="0" fontId="3" fillId="2" borderId="0" xfId="0" applyFont="1" applyFill="1" applyAlignment="1" applyProtection="1">
      <alignment horizontal="left"/>
      <protection locked="0"/>
    </xf>
    <xf numFmtId="1" fontId="3" fillId="2" borderId="2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1" fontId="4" fillId="2" borderId="2" xfId="0" applyNumberFormat="1" applyFont="1" applyFill="1" applyBorder="1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7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1" fontId="3" fillId="2" borderId="2" xfId="0" applyNumberFormat="1" applyFont="1" applyFill="1" applyBorder="1"/>
    <xf numFmtId="1" fontId="2" fillId="2" borderId="0" xfId="0" applyNumberFormat="1" applyFont="1" applyFill="1"/>
    <xf numFmtId="1" fontId="3" fillId="2" borderId="0" xfId="0" applyNumberFormat="1" applyFon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51"/>
  <sheetViews>
    <sheetView tabSelected="1" topLeftCell="C1" zoomScale="85" zoomScaleNormal="85" workbookViewId="0">
      <selection activeCell="T19" sqref="T19:U19"/>
    </sheetView>
  </sheetViews>
  <sheetFormatPr defaultColWidth="9.109375" defaultRowHeight="13.2" x14ac:dyDescent="0.25"/>
  <cols>
    <col min="1" max="1" width="3.6640625" style="1" customWidth="1"/>
    <col min="2" max="2" width="8.6640625" style="2" customWidth="1"/>
    <col min="3" max="3" width="39.5546875" style="2" customWidth="1"/>
    <col min="4" max="4" width="10" style="2" customWidth="1"/>
    <col min="5" max="5" width="11.88671875" style="2" customWidth="1"/>
    <col min="6" max="6" width="11.6640625" style="2" bestFit="1" customWidth="1"/>
    <col min="7" max="7" width="10.33203125" style="2" bestFit="1" customWidth="1"/>
    <col min="8" max="8" width="11.5546875" style="2" customWidth="1"/>
    <col min="9" max="9" width="10.5546875" style="2" customWidth="1"/>
    <col min="10" max="10" width="8.88671875" style="2" customWidth="1"/>
    <col min="11" max="11" width="8.109375" style="2" customWidth="1"/>
    <col min="12" max="12" width="10.88671875" style="2" customWidth="1"/>
    <col min="13" max="13" width="11.88671875" style="2" customWidth="1"/>
    <col min="14" max="14" width="11.6640625" style="2" bestFit="1" customWidth="1"/>
    <col min="15" max="15" width="10.33203125" style="2" bestFit="1" customWidth="1"/>
    <col min="16" max="16" width="11.6640625" style="2" bestFit="1" customWidth="1"/>
    <col min="17" max="17" width="10.33203125" style="2" bestFit="1" customWidth="1"/>
    <col min="18" max="18" width="8.88671875" style="2" bestFit="1" customWidth="1"/>
    <col min="19" max="19" width="9.6640625" style="2" bestFit="1" customWidth="1"/>
    <col min="20" max="20" width="12.33203125" style="2" customWidth="1"/>
    <col min="21" max="21" width="11.5546875" style="2" customWidth="1"/>
    <col min="22" max="16384" width="9.109375" style="2"/>
  </cols>
  <sheetData>
    <row r="1" spans="1:21" x14ac:dyDescent="0.25">
      <c r="B1" s="20" t="s">
        <v>0</v>
      </c>
      <c r="C1" s="20" t="s">
        <v>1</v>
      </c>
      <c r="D1" s="21"/>
      <c r="E1" s="21"/>
      <c r="F1" s="20" t="s">
        <v>2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1" x14ac:dyDescent="0.25">
      <c r="B2" s="20"/>
      <c r="C2" s="20"/>
      <c r="D2" s="19"/>
      <c r="E2" s="19"/>
      <c r="F2" s="22" t="s">
        <v>3</v>
      </c>
      <c r="G2" s="28"/>
      <c r="H2" s="28"/>
      <c r="I2" s="28"/>
      <c r="J2" s="28"/>
      <c r="K2" s="28"/>
      <c r="L2" s="28"/>
      <c r="M2" s="23"/>
      <c r="N2" s="24" t="s">
        <v>4</v>
      </c>
      <c r="O2" s="25"/>
      <c r="P2" s="25"/>
      <c r="Q2" s="25"/>
      <c r="R2" s="25"/>
      <c r="S2" s="25"/>
      <c r="T2" s="25"/>
      <c r="U2" s="25"/>
    </row>
    <row r="3" spans="1:21" x14ac:dyDescent="0.25">
      <c r="B3" s="20"/>
      <c r="C3" s="20"/>
      <c r="D3" s="19" t="s">
        <v>5</v>
      </c>
      <c r="E3" s="19" t="s">
        <v>6</v>
      </c>
      <c r="F3" s="22" t="s">
        <v>7</v>
      </c>
      <c r="G3" s="28"/>
      <c r="H3" s="28"/>
      <c r="I3" s="28"/>
      <c r="J3" s="28"/>
      <c r="K3" s="28"/>
      <c r="L3" s="28"/>
      <c r="M3" s="23"/>
      <c r="N3" s="26" t="s">
        <v>7</v>
      </c>
      <c r="O3" s="27"/>
      <c r="P3" s="27"/>
      <c r="Q3" s="27"/>
      <c r="R3" s="27"/>
      <c r="S3" s="27"/>
      <c r="T3" s="27"/>
      <c r="U3" s="27"/>
    </row>
    <row r="4" spans="1:21" x14ac:dyDescent="0.25">
      <c r="B4" s="20"/>
      <c r="C4" s="20"/>
      <c r="D4" s="19"/>
      <c r="E4" s="19"/>
      <c r="F4" s="19" t="s">
        <v>8</v>
      </c>
      <c r="G4" s="19"/>
      <c r="H4" s="19" t="s">
        <v>9</v>
      </c>
      <c r="I4" s="19"/>
      <c r="J4" s="20" t="s">
        <v>10</v>
      </c>
      <c r="K4" s="20"/>
      <c r="L4" s="22" t="s">
        <v>58</v>
      </c>
      <c r="M4" s="23"/>
      <c r="N4" s="19" t="s">
        <v>8</v>
      </c>
      <c r="O4" s="19"/>
      <c r="P4" s="19" t="s">
        <v>9</v>
      </c>
      <c r="Q4" s="19"/>
      <c r="R4" s="20" t="s">
        <v>10</v>
      </c>
      <c r="S4" s="20"/>
      <c r="T4" s="22" t="s">
        <v>58</v>
      </c>
      <c r="U4" s="23"/>
    </row>
    <row r="5" spans="1:21" s="5" customFormat="1" ht="41.25" customHeight="1" x14ac:dyDescent="0.3">
      <c r="A5" s="3"/>
      <c r="B5" s="20"/>
      <c r="C5" s="20"/>
      <c r="D5" s="19"/>
      <c r="E5" s="19"/>
      <c r="F5" s="4" t="s">
        <v>11</v>
      </c>
      <c r="G5" s="4" t="s">
        <v>12</v>
      </c>
      <c r="H5" s="4" t="s">
        <v>11</v>
      </c>
      <c r="I5" s="4" t="s">
        <v>12</v>
      </c>
      <c r="J5" s="4" t="s">
        <v>11</v>
      </c>
      <c r="K5" s="4" t="s">
        <v>12</v>
      </c>
      <c r="L5" s="4" t="s">
        <v>11</v>
      </c>
      <c r="M5" s="4" t="s">
        <v>12</v>
      </c>
      <c r="N5" s="4" t="s">
        <v>11</v>
      </c>
      <c r="O5" s="4" t="s">
        <v>12</v>
      </c>
      <c r="P5" s="4" t="s">
        <v>11</v>
      </c>
      <c r="Q5" s="4" t="s">
        <v>12</v>
      </c>
      <c r="R5" s="4" t="s">
        <v>11</v>
      </c>
      <c r="S5" s="4" t="s">
        <v>12</v>
      </c>
      <c r="T5" s="4" t="s">
        <v>11</v>
      </c>
      <c r="U5" s="4" t="s">
        <v>12</v>
      </c>
    </row>
    <row r="6" spans="1:21" x14ac:dyDescent="0.25">
      <c r="B6" s="6" t="s">
        <v>13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1" x14ac:dyDescent="0.25">
      <c r="B7" s="9">
        <v>1</v>
      </c>
      <c r="C7" s="10" t="s">
        <v>14</v>
      </c>
      <c r="D7" s="11">
        <v>1348264</v>
      </c>
      <c r="E7" s="11">
        <v>75993816</v>
      </c>
      <c r="F7" s="11">
        <v>1500306</v>
      </c>
      <c r="G7" s="11">
        <v>4646452.2748800004</v>
      </c>
      <c r="H7" s="11">
        <v>1435986</v>
      </c>
      <c r="I7" s="11">
        <v>6872526.6689499998</v>
      </c>
      <c r="J7" s="11">
        <v>0</v>
      </c>
      <c r="K7" s="11">
        <v>0</v>
      </c>
      <c r="L7" s="11">
        <f>J7+H7+F7</f>
        <v>2936292</v>
      </c>
      <c r="M7" s="11">
        <f>K7+I7+G7</f>
        <v>11518978.94383</v>
      </c>
      <c r="N7" s="11">
        <v>7963708</v>
      </c>
      <c r="O7" s="11">
        <v>14469083.155279953</v>
      </c>
      <c r="P7" s="11">
        <v>4008434</v>
      </c>
      <c r="Q7" s="11">
        <v>6822458.1782898428</v>
      </c>
      <c r="R7" s="11">
        <v>5</v>
      </c>
      <c r="S7" s="11">
        <v>19.5</v>
      </c>
      <c r="T7" s="30">
        <f>R7+P7+N7</f>
        <v>11972147</v>
      </c>
      <c r="U7" s="30">
        <f>S7+Q7+O7</f>
        <v>21291560.833569795</v>
      </c>
    </row>
    <row r="8" spans="1:21" x14ac:dyDescent="0.25">
      <c r="B8" s="9">
        <v>2</v>
      </c>
      <c r="C8" s="10" t="s">
        <v>15</v>
      </c>
      <c r="D8" s="11">
        <v>169240</v>
      </c>
      <c r="E8" s="11">
        <v>45402570</v>
      </c>
      <c r="F8" s="11">
        <v>142335</v>
      </c>
      <c r="G8" s="11">
        <v>479329.05723000003</v>
      </c>
      <c r="H8" s="11">
        <v>108444</v>
      </c>
      <c r="I8" s="11">
        <v>302268.09308999998</v>
      </c>
      <c r="J8" s="11">
        <v>0</v>
      </c>
      <c r="K8" s="11">
        <v>0</v>
      </c>
      <c r="L8" s="11">
        <f t="shared" ref="L8:L50" si="0">J8+H8+F8</f>
        <v>250779</v>
      </c>
      <c r="M8" s="11">
        <f t="shared" ref="M8:M50" si="1">K8+I8+G8</f>
        <v>781597.15032000002</v>
      </c>
      <c r="N8" s="11">
        <v>4704501</v>
      </c>
      <c r="O8" s="11">
        <v>8053486.9068599995</v>
      </c>
      <c r="P8" s="11">
        <v>2764782</v>
      </c>
      <c r="Q8" s="11">
        <v>3514421.7234800002</v>
      </c>
      <c r="R8" s="11">
        <v>0</v>
      </c>
      <c r="S8" s="11">
        <v>0</v>
      </c>
      <c r="T8" s="30">
        <f t="shared" ref="T8:T50" si="2">R8+P8+N8</f>
        <v>7469283</v>
      </c>
      <c r="U8" s="30">
        <f t="shared" ref="U8:U50" si="3">S8+Q8+O8</f>
        <v>11567908.630339999</v>
      </c>
    </row>
    <row r="9" spans="1:21" x14ac:dyDescent="0.25">
      <c r="B9" s="9">
        <v>3</v>
      </c>
      <c r="C9" s="10" t="s">
        <v>16</v>
      </c>
      <c r="D9" s="11">
        <v>77017</v>
      </c>
      <c r="E9" s="11">
        <v>12651775</v>
      </c>
      <c r="F9" s="11">
        <v>83933</v>
      </c>
      <c r="G9" s="11">
        <v>349389.614</v>
      </c>
      <c r="H9" s="11">
        <v>0</v>
      </c>
      <c r="I9" s="11">
        <v>0</v>
      </c>
      <c r="J9" s="11">
        <v>0</v>
      </c>
      <c r="K9" s="11">
        <v>0</v>
      </c>
      <c r="L9" s="11">
        <f t="shared" si="0"/>
        <v>83933</v>
      </c>
      <c r="M9" s="11">
        <f t="shared" si="1"/>
        <v>349389.614</v>
      </c>
      <c r="N9" s="11">
        <v>2447945</v>
      </c>
      <c r="O9" s="11">
        <v>3610611.3560000001</v>
      </c>
      <c r="P9" s="11">
        <v>1007201</v>
      </c>
      <c r="Q9" s="11">
        <v>1341509.6029999999</v>
      </c>
      <c r="R9" s="11">
        <v>9059</v>
      </c>
      <c r="S9" s="11">
        <v>102256.03379999999</v>
      </c>
      <c r="T9" s="30">
        <f t="shared" si="2"/>
        <v>3464205</v>
      </c>
      <c r="U9" s="30">
        <f t="shared" si="3"/>
        <v>5054376.9928000001</v>
      </c>
    </row>
    <row r="10" spans="1:21" x14ac:dyDescent="0.25">
      <c r="B10" s="9">
        <v>4</v>
      </c>
      <c r="C10" s="10" t="s">
        <v>17</v>
      </c>
      <c r="D10" s="11">
        <v>922700</v>
      </c>
      <c r="E10" s="11">
        <v>46100836</v>
      </c>
      <c r="F10" s="11">
        <v>636586</v>
      </c>
      <c r="G10" s="11">
        <v>1677729.2320000001</v>
      </c>
      <c r="H10" s="11">
        <v>292789</v>
      </c>
      <c r="I10" s="11">
        <v>989769.52879999997</v>
      </c>
      <c r="J10" s="11">
        <v>0</v>
      </c>
      <c r="K10" s="11">
        <v>0</v>
      </c>
      <c r="L10" s="11">
        <f t="shared" si="0"/>
        <v>929375</v>
      </c>
      <c r="M10" s="11">
        <f t="shared" si="1"/>
        <v>2667498.7608000003</v>
      </c>
      <c r="N10" s="11">
        <v>9520319</v>
      </c>
      <c r="O10" s="11">
        <v>18282217.811999999</v>
      </c>
      <c r="P10" s="11">
        <v>3889247</v>
      </c>
      <c r="Q10" s="11">
        <v>6711685.0640000002</v>
      </c>
      <c r="R10" s="11">
        <v>4185</v>
      </c>
      <c r="S10" s="11">
        <v>69015.884000000005</v>
      </c>
      <c r="T10" s="30">
        <f t="shared" si="2"/>
        <v>13413751</v>
      </c>
      <c r="U10" s="30">
        <f t="shared" si="3"/>
        <v>25062918.759999998</v>
      </c>
    </row>
    <row r="11" spans="1:21" x14ac:dyDescent="0.25">
      <c r="B11" s="9">
        <v>5</v>
      </c>
      <c r="C11" s="10" t="s">
        <v>18</v>
      </c>
      <c r="D11" s="11">
        <v>0</v>
      </c>
      <c r="E11" s="11">
        <v>27038530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f t="shared" si="0"/>
        <v>0</v>
      </c>
      <c r="M11" s="11">
        <f t="shared" si="1"/>
        <v>0</v>
      </c>
      <c r="N11" s="11">
        <v>2622310</v>
      </c>
      <c r="O11" s="11">
        <v>5259061.8059999999</v>
      </c>
      <c r="P11" s="11">
        <v>711967</v>
      </c>
      <c r="Q11" s="11">
        <v>1183201.2819999999</v>
      </c>
      <c r="R11" s="11">
        <v>0</v>
      </c>
      <c r="S11" s="11">
        <v>0</v>
      </c>
      <c r="T11" s="30">
        <f t="shared" si="2"/>
        <v>3334277</v>
      </c>
      <c r="U11" s="30">
        <f t="shared" si="3"/>
        <v>6442263.0879999995</v>
      </c>
    </row>
    <row r="12" spans="1:21" x14ac:dyDescent="0.25">
      <c r="B12" s="9">
        <v>6</v>
      </c>
      <c r="C12" s="10" t="s">
        <v>19</v>
      </c>
      <c r="D12" s="11">
        <v>156312</v>
      </c>
      <c r="E12" s="11">
        <v>27703669</v>
      </c>
      <c r="F12" s="11">
        <v>125038</v>
      </c>
      <c r="G12" s="11">
        <v>283483.29399999999</v>
      </c>
      <c r="H12" s="11">
        <v>61221</v>
      </c>
      <c r="I12" s="11">
        <v>283729.36800000002</v>
      </c>
      <c r="J12" s="11">
        <v>0</v>
      </c>
      <c r="K12" s="11">
        <v>0</v>
      </c>
      <c r="L12" s="11">
        <f t="shared" si="0"/>
        <v>186259</v>
      </c>
      <c r="M12" s="11">
        <f t="shared" si="1"/>
        <v>567212.66200000001</v>
      </c>
      <c r="N12" s="11">
        <v>5896214</v>
      </c>
      <c r="O12" s="11">
        <v>10750901.976</v>
      </c>
      <c r="P12" s="11">
        <v>2728229</v>
      </c>
      <c r="Q12" s="11">
        <v>3959054.6970000002</v>
      </c>
      <c r="R12" s="11">
        <v>4788</v>
      </c>
      <c r="S12" s="11">
        <v>73404.645180000007</v>
      </c>
      <c r="T12" s="30">
        <f t="shared" si="2"/>
        <v>8629231</v>
      </c>
      <c r="U12" s="30">
        <f t="shared" si="3"/>
        <v>14783361.31818</v>
      </c>
    </row>
    <row r="13" spans="1:21" x14ac:dyDescent="0.25">
      <c r="B13" s="9">
        <v>7</v>
      </c>
      <c r="C13" s="10" t="s">
        <v>20</v>
      </c>
      <c r="D13" s="11">
        <v>77236</v>
      </c>
      <c r="E13" s="11">
        <v>14886914</v>
      </c>
      <c r="F13" s="11">
        <v>61667</v>
      </c>
      <c r="G13" s="11">
        <v>143092.136</v>
      </c>
      <c r="H13" s="11">
        <v>23770</v>
      </c>
      <c r="I13" s="11">
        <v>62948.381000000001</v>
      </c>
      <c r="J13" s="11">
        <v>0</v>
      </c>
      <c r="K13" s="11">
        <v>0</v>
      </c>
      <c r="L13" s="11">
        <f t="shared" si="0"/>
        <v>85437</v>
      </c>
      <c r="M13" s="11">
        <f t="shared" si="1"/>
        <v>206040.51699999999</v>
      </c>
      <c r="N13" s="11">
        <v>3694785</v>
      </c>
      <c r="O13" s="11">
        <v>6619468.335</v>
      </c>
      <c r="P13" s="11">
        <v>1155888</v>
      </c>
      <c r="Q13" s="11">
        <v>1844257.1510000001</v>
      </c>
      <c r="R13" s="11">
        <v>0</v>
      </c>
      <c r="S13" s="11">
        <v>0</v>
      </c>
      <c r="T13" s="30">
        <f t="shared" si="2"/>
        <v>4850673</v>
      </c>
      <c r="U13" s="30">
        <f t="shared" si="3"/>
        <v>8463725.4859999996</v>
      </c>
    </row>
    <row r="14" spans="1:21" x14ac:dyDescent="0.25">
      <c r="B14" s="9">
        <v>8</v>
      </c>
      <c r="C14" s="10" t="s">
        <v>21</v>
      </c>
      <c r="D14" s="11">
        <v>0</v>
      </c>
      <c r="E14" s="11">
        <v>3517700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f t="shared" si="0"/>
        <v>0</v>
      </c>
      <c r="M14" s="11">
        <f t="shared" si="1"/>
        <v>0</v>
      </c>
      <c r="N14" s="11">
        <v>550715</v>
      </c>
      <c r="O14" s="11">
        <v>1124005.20795</v>
      </c>
      <c r="P14" s="11">
        <v>340230</v>
      </c>
      <c r="Q14" s="11">
        <v>709140.78662999999</v>
      </c>
      <c r="R14" s="11">
        <v>0</v>
      </c>
      <c r="S14" s="11">
        <v>0</v>
      </c>
      <c r="T14" s="30">
        <f t="shared" si="2"/>
        <v>890945</v>
      </c>
      <c r="U14" s="30">
        <f t="shared" si="3"/>
        <v>1833145.9945799999</v>
      </c>
    </row>
    <row r="15" spans="1:21" x14ac:dyDescent="0.25">
      <c r="B15" s="9">
        <v>9</v>
      </c>
      <c r="C15" s="10" t="s">
        <v>22</v>
      </c>
      <c r="D15" s="11">
        <v>330315</v>
      </c>
      <c r="E15" s="11">
        <v>46296504</v>
      </c>
      <c r="F15" s="11">
        <v>418321</v>
      </c>
      <c r="G15" s="11">
        <v>1225915.51165</v>
      </c>
      <c r="H15" s="11">
        <v>167738</v>
      </c>
      <c r="I15" s="11">
        <v>547302.18247</v>
      </c>
      <c r="J15" s="11">
        <v>0</v>
      </c>
      <c r="K15" s="11">
        <v>0</v>
      </c>
      <c r="L15" s="11">
        <f t="shared" si="0"/>
        <v>586059</v>
      </c>
      <c r="M15" s="11">
        <f t="shared" si="1"/>
        <v>1773217.6941200001</v>
      </c>
      <c r="N15" s="11">
        <v>8690853</v>
      </c>
      <c r="O15" s="11">
        <v>16735928.623569999</v>
      </c>
      <c r="P15" s="11">
        <v>5428500</v>
      </c>
      <c r="Q15" s="11">
        <v>7925228.8855600003</v>
      </c>
      <c r="R15" s="11">
        <v>0</v>
      </c>
      <c r="S15" s="11">
        <v>0</v>
      </c>
      <c r="T15" s="30">
        <f t="shared" si="2"/>
        <v>14119353</v>
      </c>
      <c r="U15" s="30">
        <f t="shared" si="3"/>
        <v>24661157.509130001</v>
      </c>
    </row>
    <row r="16" spans="1:21" x14ac:dyDescent="0.25">
      <c r="B16" s="9">
        <v>10</v>
      </c>
      <c r="C16" s="10" t="s">
        <v>23</v>
      </c>
      <c r="D16" s="11">
        <v>14315734</v>
      </c>
      <c r="E16" s="11">
        <v>274069731</v>
      </c>
      <c r="F16" s="11">
        <v>23705628</v>
      </c>
      <c r="G16" s="11">
        <v>68309259.272</v>
      </c>
      <c r="H16" s="11">
        <v>18159026</v>
      </c>
      <c r="I16" s="11">
        <v>120052406.29000001</v>
      </c>
      <c r="J16" s="11">
        <v>0</v>
      </c>
      <c r="K16" s="11">
        <v>0</v>
      </c>
      <c r="L16" s="11">
        <f t="shared" si="0"/>
        <v>41864654</v>
      </c>
      <c r="M16" s="11">
        <f t="shared" si="1"/>
        <v>188361665.56200001</v>
      </c>
      <c r="N16" s="11">
        <v>57507759</v>
      </c>
      <c r="O16" s="11">
        <v>110756854.20648001</v>
      </c>
      <c r="P16" s="11">
        <v>29873680</v>
      </c>
      <c r="Q16" s="11">
        <v>47622743.680630006</v>
      </c>
      <c r="R16" s="11">
        <v>2132</v>
      </c>
      <c r="S16" s="11">
        <v>26272.012289999999</v>
      </c>
      <c r="T16" s="30">
        <f t="shared" si="2"/>
        <v>87383571</v>
      </c>
      <c r="U16" s="30">
        <f t="shared" si="3"/>
        <v>158405869.89940003</v>
      </c>
    </row>
    <row r="17" spans="2:21" x14ac:dyDescent="0.25">
      <c r="B17" s="9">
        <v>11</v>
      </c>
      <c r="C17" s="10" t="s">
        <v>24</v>
      </c>
      <c r="D17" s="11">
        <v>0</v>
      </c>
      <c r="E17" s="11">
        <v>11542722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f t="shared" si="0"/>
        <v>0</v>
      </c>
      <c r="M17" s="11">
        <f t="shared" si="1"/>
        <v>0</v>
      </c>
      <c r="N17" s="11">
        <v>1754992</v>
      </c>
      <c r="O17" s="11">
        <v>3440800.0060000001</v>
      </c>
      <c r="P17" s="11">
        <v>1117238</v>
      </c>
      <c r="Q17" s="11">
        <v>1704470.933</v>
      </c>
      <c r="R17" s="11">
        <v>1518</v>
      </c>
      <c r="S17" s="11">
        <v>22984.383379999999</v>
      </c>
      <c r="T17" s="30">
        <f t="shared" si="2"/>
        <v>2873748</v>
      </c>
      <c r="U17" s="30">
        <f t="shared" si="3"/>
        <v>5168255.3223799998</v>
      </c>
    </row>
    <row r="18" spans="2:21" x14ac:dyDescent="0.25">
      <c r="B18" s="9">
        <v>12</v>
      </c>
      <c r="C18" s="10" t="s">
        <v>25</v>
      </c>
      <c r="D18" s="11">
        <v>552143</v>
      </c>
      <c r="E18" s="11">
        <v>49044522</v>
      </c>
      <c r="F18" s="11">
        <v>486792</v>
      </c>
      <c r="G18" s="11">
        <v>1505271.7930000001</v>
      </c>
      <c r="H18" s="11">
        <v>266186</v>
      </c>
      <c r="I18" s="11">
        <v>996496.46074000001</v>
      </c>
      <c r="J18" s="11">
        <v>0</v>
      </c>
      <c r="K18" s="11">
        <v>0</v>
      </c>
      <c r="L18" s="11">
        <f t="shared" si="0"/>
        <v>752978</v>
      </c>
      <c r="M18" s="11">
        <f t="shared" si="1"/>
        <v>2501768.2537400001</v>
      </c>
      <c r="N18" s="11">
        <v>10361312</v>
      </c>
      <c r="O18" s="11">
        <v>17596073.561999999</v>
      </c>
      <c r="P18" s="11">
        <v>6435536</v>
      </c>
      <c r="Q18" s="11">
        <v>9922865.2440000009</v>
      </c>
      <c r="R18" s="11">
        <v>2583</v>
      </c>
      <c r="S18" s="11">
        <v>9573.8846999999987</v>
      </c>
      <c r="T18" s="30">
        <f t="shared" si="2"/>
        <v>16799431</v>
      </c>
      <c r="U18" s="30">
        <f t="shared" si="3"/>
        <v>27528512.690700002</v>
      </c>
    </row>
    <row r="19" spans="2:21" x14ac:dyDescent="0.25">
      <c r="B19" s="6" t="s">
        <v>26</v>
      </c>
      <c r="C19" s="8"/>
      <c r="D19" s="7"/>
      <c r="E19" s="7"/>
      <c r="F19" s="7"/>
      <c r="G19" s="7"/>
      <c r="H19" s="7"/>
      <c r="I19" s="7"/>
      <c r="J19" s="7"/>
      <c r="K19" s="7"/>
      <c r="L19" s="11"/>
      <c r="M19" s="11"/>
      <c r="N19" s="11"/>
      <c r="O19" s="11"/>
      <c r="P19" s="11"/>
      <c r="Q19" s="11"/>
      <c r="R19" s="11"/>
      <c r="S19" s="11"/>
      <c r="T19" s="30"/>
      <c r="U19" s="30"/>
    </row>
    <row r="20" spans="2:21" x14ac:dyDescent="0.25">
      <c r="B20" s="9">
        <v>13</v>
      </c>
      <c r="C20" s="10" t="s">
        <v>27</v>
      </c>
      <c r="D20" s="11">
        <v>9704719</v>
      </c>
      <c r="E20" s="11">
        <v>28729313</v>
      </c>
      <c r="F20" s="11">
        <v>15714717</v>
      </c>
      <c r="G20" s="11">
        <v>45625455.753559999</v>
      </c>
      <c r="H20" s="11">
        <v>10724976</v>
      </c>
      <c r="I20" s="11">
        <v>55332633.389669999</v>
      </c>
      <c r="J20" s="11">
        <v>0</v>
      </c>
      <c r="K20" s="11">
        <v>0</v>
      </c>
      <c r="L20" s="11">
        <f t="shared" si="0"/>
        <v>26439693</v>
      </c>
      <c r="M20" s="11">
        <f t="shared" si="1"/>
        <v>100958089.14322999</v>
      </c>
      <c r="N20" s="11">
        <v>11872656</v>
      </c>
      <c r="O20" s="11">
        <v>27350542.580959994</v>
      </c>
      <c r="P20" s="11">
        <v>5675321</v>
      </c>
      <c r="Q20" s="11">
        <v>16612903.037320003</v>
      </c>
      <c r="R20" s="11">
        <v>21117</v>
      </c>
      <c r="S20" s="11">
        <v>521046.58267000003</v>
      </c>
      <c r="T20" s="30">
        <f t="shared" si="2"/>
        <v>17569094</v>
      </c>
      <c r="U20" s="30">
        <f t="shared" si="3"/>
        <v>44484492.200949997</v>
      </c>
    </row>
    <row r="21" spans="2:21" x14ac:dyDescent="0.25">
      <c r="B21" s="9">
        <v>14</v>
      </c>
      <c r="C21" s="10" t="s">
        <v>28</v>
      </c>
      <c r="D21" s="16">
        <v>0</v>
      </c>
      <c r="E21" s="16">
        <v>5059874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1">
        <f t="shared" si="0"/>
        <v>0</v>
      </c>
      <c r="M21" s="11">
        <f t="shared" si="1"/>
        <v>0</v>
      </c>
      <c r="N21" s="16">
        <v>556798</v>
      </c>
      <c r="O21" s="16">
        <v>1262681</v>
      </c>
      <c r="P21" s="16">
        <v>344015</v>
      </c>
      <c r="Q21" s="16">
        <v>750875</v>
      </c>
      <c r="R21" s="16">
        <v>0</v>
      </c>
      <c r="S21" s="16">
        <v>0</v>
      </c>
      <c r="T21" s="30">
        <f t="shared" si="2"/>
        <v>900813</v>
      </c>
      <c r="U21" s="30">
        <f t="shared" si="3"/>
        <v>2013556</v>
      </c>
    </row>
    <row r="22" spans="2:21" x14ac:dyDescent="0.25">
      <c r="B22" s="9">
        <v>15</v>
      </c>
      <c r="C22" s="10" t="s">
        <v>29</v>
      </c>
      <c r="D22" s="11">
        <v>1725</v>
      </c>
      <c r="E22" s="11">
        <v>2621852</v>
      </c>
      <c r="F22" s="11">
        <v>1415</v>
      </c>
      <c r="G22" s="11">
        <v>3540.3104800000001</v>
      </c>
      <c r="H22" s="11">
        <v>374</v>
      </c>
      <c r="I22" s="11">
        <v>1123.76117</v>
      </c>
      <c r="J22" s="11">
        <v>0</v>
      </c>
      <c r="K22" s="11">
        <v>0</v>
      </c>
      <c r="L22" s="11">
        <f t="shared" si="0"/>
        <v>1789</v>
      </c>
      <c r="M22" s="11">
        <f t="shared" si="1"/>
        <v>4664.0716499999999</v>
      </c>
      <c r="N22" s="11">
        <v>896857</v>
      </c>
      <c r="O22" s="11">
        <v>1694095.75712</v>
      </c>
      <c r="P22" s="11">
        <v>184063</v>
      </c>
      <c r="Q22" s="11">
        <v>319827.28181000001</v>
      </c>
      <c r="R22" s="11">
        <v>0</v>
      </c>
      <c r="S22" s="11">
        <v>0</v>
      </c>
      <c r="T22" s="30">
        <f t="shared" si="2"/>
        <v>1080920</v>
      </c>
      <c r="U22" s="30">
        <f t="shared" si="3"/>
        <v>2013923.03893</v>
      </c>
    </row>
    <row r="23" spans="2:21" x14ac:dyDescent="0.25">
      <c r="B23" s="9">
        <v>16</v>
      </c>
      <c r="C23" s="10" t="s">
        <v>30</v>
      </c>
      <c r="D23" s="11">
        <v>0</v>
      </c>
      <c r="E23" s="11">
        <v>822990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f t="shared" si="0"/>
        <v>0</v>
      </c>
      <c r="M23" s="11">
        <f t="shared" si="1"/>
        <v>0</v>
      </c>
      <c r="N23" s="11">
        <v>248488</v>
      </c>
      <c r="O23" s="11">
        <v>429761.34922999999</v>
      </c>
      <c r="P23" s="11">
        <v>50082</v>
      </c>
      <c r="Q23" s="11">
        <v>92778.647649999999</v>
      </c>
      <c r="R23" s="11">
        <v>16</v>
      </c>
      <c r="S23" s="11">
        <v>115.6</v>
      </c>
      <c r="T23" s="30">
        <f t="shared" si="2"/>
        <v>298586</v>
      </c>
      <c r="U23" s="30">
        <f t="shared" si="3"/>
        <v>522655.59687999997</v>
      </c>
    </row>
    <row r="24" spans="2:21" x14ac:dyDescent="0.25">
      <c r="B24" s="9">
        <v>17</v>
      </c>
      <c r="C24" s="10" t="s">
        <v>31</v>
      </c>
      <c r="D24" s="11">
        <v>3530</v>
      </c>
      <c r="E24" s="11">
        <v>886534</v>
      </c>
      <c r="F24" s="11">
        <v>6071</v>
      </c>
      <c r="G24" s="11">
        <v>14481.517</v>
      </c>
      <c r="H24" s="11">
        <v>2754</v>
      </c>
      <c r="I24" s="11">
        <v>10385.370000000001</v>
      </c>
      <c r="J24" s="11">
        <v>0</v>
      </c>
      <c r="K24" s="11">
        <v>0</v>
      </c>
      <c r="L24" s="11">
        <f t="shared" si="0"/>
        <v>8825</v>
      </c>
      <c r="M24" s="11">
        <f t="shared" si="1"/>
        <v>24866.887000000002</v>
      </c>
      <c r="N24" s="11">
        <v>300432</v>
      </c>
      <c r="O24" s="11">
        <v>610003.65599999996</v>
      </c>
      <c r="P24" s="11">
        <v>69719</v>
      </c>
      <c r="Q24" s="11">
        <v>328808.08299999998</v>
      </c>
      <c r="R24" s="11">
        <v>478</v>
      </c>
      <c r="S24" s="11">
        <v>15950.108</v>
      </c>
      <c r="T24" s="30">
        <f t="shared" si="2"/>
        <v>370629</v>
      </c>
      <c r="U24" s="30">
        <f t="shared" si="3"/>
        <v>954761.84699999995</v>
      </c>
    </row>
    <row r="25" spans="2:21" x14ac:dyDescent="0.25">
      <c r="B25" s="9">
        <v>18</v>
      </c>
      <c r="C25" s="10" t="s">
        <v>32</v>
      </c>
      <c r="D25" s="11">
        <v>7471</v>
      </c>
      <c r="E25" s="11">
        <v>513243</v>
      </c>
      <c r="F25" s="11">
        <v>17244</v>
      </c>
      <c r="G25" s="11">
        <v>33827.993520000004</v>
      </c>
      <c r="H25" s="11">
        <v>5545</v>
      </c>
      <c r="I25" s="11">
        <v>18815.78847</v>
      </c>
      <c r="J25" s="11">
        <v>9</v>
      </c>
      <c r="K25" s="11">
        <v>145.12651</v>
      </c>
      <c r="L25" s="11">
        <f t="shared" si="0"/>
        <v>22798</v>
      </c>
      <c r="M25" s="11">
        <f t="shared" si="1"/>
        <v>52788.908500000005</v>
      </c>
      <c r="N25" s="11">
        <v>249638</v>
      </c>
      <c r="O25" s="11">
        <v>395858.96318999998</v>
      </c>
      <c r="P25" s="11">
        <v>47766</v>
      </c>
      <c r="Q25" s="11">
        <v>85252.722519999996</v>
      </c>
      <c r="R25" s="11">
        <v>0</v>
      </c>
      <c r="S25" s="11">
        <v>0</v>
      </c>
      <c r="T25" s="30">
        <f t="shared" si="2"/>
        <v>297404</v>
      </c>
      <c r="U25" s="30">
        <f t="shared" si="3"/>
        <v>481111.68570999999</v>
      </c>
    </row>
    <row r="26" spans="2:21" x14ac:dyDescent="0.25">
      <c r="B26" s="9">
        <v>19</v>
      </c>
      <c r="C26" s="10" t="s">
        <v>33</v>
      </c>
      <c r="D26" s="11">
        <v>234580</v>
      </c>
      <c r="E26" s="11">
        <v>12155305</v>
      </c>
      <c r="F26" s="11">
        <v>511619</v>
      </c>
      <c r="G26" s="11">
        <v>1619395.879</v>
      </c>
      <c r="H26" s="11">
        <v>476811</v>
      </c>
      <c r="I26" s="11">
        <v>2456157.0040000002</v>
      </c>
      <c r="J26" s="11">
        <v>0</v>
      </c>
      <c r="K26" s="11">
        <v>0</v>
      </c>
      <c r="L26" s="11">
        <f t="shared" si="0"/>
        <v>988430</v>
      </c>
      <c r="M26" s="11">
        <f t="shared" si="1"/>
        <v>4075552.8830000004</v>
      </c>
      <c r="N26" s="11">
        <v>5331384</v>
      </c>
      <c r="O26" s="11">
        <v>8834368.0710000005</v>
      </c>
      <c r="P26" s="11">
        <v>2073852</v>
      </c>
      <c r="Q26" s="11">
        <v>4080285.6150000002</v>
      </c>
      <c r="R26" s="11">
        <v>2069</v>
      </c>
      <c r="S26" s="11">
        <v>21408.761999999999</v>
      </c>
      <c r="T26" s="30">
        <f t="shared" si="2"/>
        <v>7407305</v>
      </c>
      <c r="U26" s="30">
        <f t="shared" si="3"/>
        <v>12936062.448000001</v>
      </c>
    </row>
    <row r="27" spans="2:21" x14ac:dyDescent="0.25">
      <c r="B27" s="9">
        <v>20</v>
      </c>
      <c r="C27" s="10" t="s">
        <v>34</v>
      </c>
      <c r="D27" s="11">
        <v>17605497</v>
      </c>
      <c r="E27" s="11">
        <v>45013206</v>
      </c>
      <c r="F27" s="11">
        <v>30307249</v>
      </c>
      <c r="G27" s="11">
        <v>113608134.597</v>
      </c>
      <c r="H27" s="11">
        <v>27077748</v>
      </c>
      <c r="I27" s="11">
        <v>182174415.63299999</v>
      </c>
      <c r="J27" s="11">
        <v>0</v>
      </c>
      <c r="K27" s="11">
        <v>0</v>
      </c>
      <c r="L27" s="11">
        <f t="shared" si="0"/>
        <v>57384997</v>
      </c>
      <c r="M27" s="11">
        <f t="shared" si="1"/>
        <v>295782550.23000002</v>
      </c>
      <c r="N27" s="11">
        <v>24352758</v>
      </c>
      <c r="O27" s="11">
        <v>55451232.009000003</v>
      </c>
      <c r="P27" s="11">
        <v>16604725</v>
      </c>
      <c r="Q27" s="11">
        <v>39021548.660999998</v>
      </c>
      <c r="R27" s="11">
        <v>616836</v>
      </c>
      <c r="S27" s="11">
        <v>4162124.5989999999</v>
      </c>
      <c r="T27" s="30">
        <f t="shared" si="2"/>
        <v>41574319</v>
      </c>
      <c r="U27" s="30">
        <f t="shared" si="3"/>
        <v>98634905.268999994</v>
      </c>
    </row>
    <row r="28" spans="2:21" x14ac:dyDescent="0.25">
      <c r="B28" s="9">
        <v>21</v>
      </c>
      <c r="C28" s="10" t="s">
        <v>35</v>
      </c>
      <c r="D28" s="11">
        <v>13531271</v>
      </c>
      <c r="E28" s="11">
        <v>36545077</v>
      </c>
      <c r="F28" s="11">
        <v>20632299</v>
      </c>
      <c r="G28" s="11">
        <v>72107608.944000006</v>
      </c>
      <c r="H28" s="11">
        <v>22846725</v>
      </c>
      <c r="I28" s="11">
        <v>144574883.47999999</v>
      </c>
      <c r="J28" s="11">
        <v>0</v>
      </c>
      <c r="K28" s="11">
        <v>0</v>
      </c>
      <c r="L28" s="11">
        <f t="shared" si="0"/>
        <v>43479024</v>
      </c>
      <c r="M28" s="11">
        <f t="shared" si="1"/>
        <v>216682492.42399999</v>
      </c>
      <c r="N28" s="11">
        <v>16704040</v>
      </c>
      <c r="O28" s="11">
        <v>40092861.052000001</v>
      </c>
      <c r="P28" s="11">
        <v>6543711</v>
      </c>
      <c r="Q28" s="11">
        <v>21940429.920000002</v>
      </c>
      <c r="R28" s="11">
        <v>26616</v>
      </c>
      <c r="S28" s="11">
        <v>247219.33499999999</v>
      </c>
      <c r="T28" s="30">
        <f t="shared" si="2"/>
        <v>23274367</v>
      </c>
      <c r="U28" s="30">
        <f t="shared" si="3"/>
        <v>62280510.307000004</v>
      </c>
    </row>
    <row r="29" spans="2:21" x14ac:dyDescent="0.25">
      <c r="B29" s="9">
        <v>22</v>
      </c>
      <c r="C29" s="10" t="s">
        <v>36</v>
      </c>
      <c r="D29" s="11">
        <v>41815</v>
      </c>
      <c r="E29" s="11">
        <v>12812177</v>
      </c>
      <c r="F29" s="11">
        <v>70290</v>
      </c>
      <c r="G29" s="11">
        <v>215928.89908999999</v>
      </c>
      <c r="H29" s="11">
        <v>45978</v>
      </c>
      <c r="I29" s="11">
        <v>159232.78012000001</v>
      </c>
      <c r="J29" s="11">
        <v>0</v>
      </c>
      <c r="K29" s="11">
        <v>0</v>
      </c>
      <c r="L29" s="11">
        <f t="shared" si="0"/>
        <v>116268</v>
      </c>
      <c r="M29" s="11">
        <f t="shared" si="1"/>
        <v>375161.67920999997</v>
      </c>
      <c r="N29" s="11">
        <v>2684224</v>
      </c>
      <c r="O29" s="11">
        <v>5064007.9989999998</v>
      </c>
      <c r="P29" s="11">
        <v>859950</v>
      </c>
      <c r="Q29" s="11">
        <v>1597091.966</v>
      </c>
      <c r="R29" s="11">
        <v>0</v>
      </c>
      <c r="S29" s="11">
        <v>0</v>
      </c>
      <c r="T29" s="30">
        <f t="shared" si="2"/>
        <v>3544174</v>
      </c>
      <c r="U29" s="30">
        <f t="shared" si="3"/>
        <v>6661099.9649999999</v>
      </c>
    </row>
    <row r="30" spans="2:21" x14ac:dyDescent="0.25">
      <c r="B30" s="9">
        <v>23</v>
      </c>
      <c r="C30" s="10" t="s">
        <v>37</v>
      </c>
      <c r="D30" s="11">
        <v>962792</v>
      </c>
      <c r="E30" s="11">
        <v>4458810</v>
      </c>
      <c r="F30" s="11">
        <v>1449506</v>
      </c>
      <c r="G30" s="11">
        <v>4998429.8493199963</v>
      </c>
      <c r="H30" s="11">
        <v>1204519</v>
      </c>
      <c r="I30" s="11">
        <v>7766493.4816200044</v>
      </c>
      <c r="J30" s="11">
        <v>0</v>
      </c>
      <c r="K30" s="11">
        <v>0</v>
      </c>
      <c r="L30" s="11">
        <f t="shared" si="0"/>
        <v>2654025</v>
      </c>
      <c r="M30" s="11">
        <f t="shared" si="1"/>
        <v>12764923.330940001</v>
      </c>
      <c r="N30" s="11">
        <v>1395658</v>
      </c>
      <c r="O30" s="11">
        <v>2101444.4210000001</v>
      </c>
      <c r="P30" s="11">
        <v>447501</v>
      </c>
      <c r="Q30" s="11">
        <v>1288141.6330500001</v>
      </c>
      <c r="R30" s="11">
        <v>0</v>
      </c>
      <c r="S30" s="11">
        <v>0</v>
      </c>
      <c r="T30" s="30">
        <f t="shared" si="2"/>
        <v>1843159</v>
      </c>
      <c r="U30" s="30">
        <f t="shared" si="3"/>
        <v>3389586.0540500004</v>
      </c>
    </row>
    <row r="31" spans="2:21" x14ac:dyDescent="0.25">
      <c r="B31" s="9">
        <v>24</v>
      </c>
      <c r="C31" s="10" t="s">
        <v>38</v>
      </c>
      <c r="D31" s="11">
        <v>2029218</v>
      </c>
      <c r="E31" s="11">
        <v>7255130</v>
      </c>
      <c r="F31" s="11">
        <v>2375590</v>
      </c>
      <c r="G31" s="11">
        <v>10600126.429</v>
      </c>
      <c r="H31" s="11">
        <v>2426773</v>
      </c>
      <c r="I31" s="11">
        <v>44890662.475000001</v>
      </c>
      <c r="J31" s="11">
        <v>0</v>
      </c>
      <c r="K31" s="11">
        <v>0</v>
      </c>
      <c r="L31" s="11">
        <f t="shared" si="0"/>
        <v>4802363</v>
      </c>
      <c r="M31" s="11">
        <f t="shared" si="1"/>
        <v>55490788.903999999</v>
      </c>
      <c r="N31" s="11">
        <v>1684156</v>
      </c>
      <c r="O31" s="11">
        <v>3397573.99</v>
      </c>
      <c r="P31" s="11">
        <v>1055122</v>
      </c>
      <c r="Q31" s="11">
        <v>3110302.7549999999</v>
      </c>
      <c r="R31" s="11">
        <v>1023</v>
      </c>
      <c r="S31" s="11">
        <v>75398.756970000002</v>
      </c>
      <c r="T31" s="30">
        <f t="shared" si="2"/>
        <v>2740301</v>
      </c>
      <c r="U31" s="30">
        <f t="shared" si="3"/>
        <v>6583275.5019700006</v>
      </c>
    </row>
    <row r="32" spans="2:21" x14ac:dyDescent="0.25">
      <c r="B32" s="9">
        <v>25</v>
      </c>
      <c r="C32" s="10" t="s">
        <v>39</v>
      </c>
      <c r="D32" s="11">
        <v>81054</v>
      </c>
      <c r="E32" s="11">
        <v>3527294</v>
      </c>
      <c r="F32" s="11">
        <v>121753</v>
      </c>
      <c r="G32" s="11">
        <v>804715.75749999995</v>
      </c>
      <c r="H32" s="11">
        <v>104589</v>
      </c>
      <c r="I32" s="11">
        <v>269494.73460000003</v>
      </c>
      <c r="J32" s="11">
        <v>0</v>
      </c>
      <c r="K32" s="11">
        <v>0</v>
      </c>
      <c r="L32" s="11">
        <f t="shared" si="0"/>
        <v>226342</v>
      </c>
      <c r="M32" s="11">
        <f t="shared" si="1"/>
        <v>1074210.4920999999</v>
      </c>
      <c r="N32" s="11">
        <v>1094508</v>
      </c>
      <c r="O32" s="11">
        <v>2567743.892</v>
      </c>
      <c r="P32" s="11">
        <v>3094565</v>
      </c>
      <c r="Q32" s="11">
        <v>1410257.6077100001</v>
      </c>
      <c r="R32" s="11">
        <v>0</v>
      </c>
      <c r="S32" s="11">
        <v>0</v>
      </c>
      <c r="T32" s="30">
        <f t="shared" si="2"/>
        <v>4189073</v>
      </c>
      <c r="U32" s="30">
        <f t="shared" si="3"/>
        <v>3978001.4997100001</v>
      </c>
    </row>
    <row r="33" spans="1:21" x14ac:dyDescent="0.25">
      <c r="B33" s="9">
        <v>26</v>
      </c>
      <c r="C33" s="10" t="s">
        <v>40</v>
      </c>
      <c r="D33" s="11">
        <v>0</v>
      </c>
      <c r="E33" s="11">
        <v>5184924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f t="shared" si="0"/>
        <v>0</v>
      </c>
      <c r="M33" s="11">
        <f t="shared" si="1"/>
        <v>0</v>
      </c>
      <c r="N33" s="11">
        <v>1889987</v>
      </c>
      <c r="O33" s="11">
        <v>2668013.06745</v>
      </c>
      <c r="P33" s="11">
        <v>406645</v>
      </c>
      <c r="Q33" s="11">
        <v>632889.37199999997</v>
      </c>
      <c r="R33" s="11">
        <v>0</v>
      </c>
      <c r="S33" s="11">
        <v>0</v>
      </c>
      <c r="T33" s="30">
        <f t="shared" si="2"/>
        <v>2296632</v>
      </c>
      <c r="U33" s="30">
        <f t="shared" si="3"/>
        <v>3300902.4394499999</v>
      </c>
    </row>
    <row r="34" spans="1:21" x14ac:dyDescent="0.25">
      <c r="B34" s="9">
        <v>27</v>
      </c>
      <c r="C34" s="10" t="s">
        <v>41</v>
      </c>
      <c r="D34" s="11">
        <v>9169</v>
      </c>
      <c r="E34" s="11">
        <v>4040127</v>
      </c>
      <c r="F34" s="11">
        <v>19787</v>
      </c>
      <c r="G34" s="11">
        <v>94939.011969999992</v>
      </c>
      <c r="H34" s="11">
        <v>4981</v>
      </c>
      <c r="I34" s="11">
        <v>44322.07576</v>
      </c>
      <c r="J34" s="11">
        <v>0</v>
      </c>
      <c r="K34" s="11">
        <v>0</v>
      </c>
      <c r="L34" s="11">
        <f t="shared" si="0"/>
        <v>24768</v>
      </c>
      <c r="M34" s="11">
        <f t="shared" si="1"/>
        <v>139261.08773</v>
      </c>
      <c r="N34" s="11">
        <v>1926506</v>
      </c>
      <c r="O34" s="11">
        <v>3955186.9909999999</v>
      </c>
      <c r="P34" s="11">
        <v>418511</v>
      </c>
      <c r="Q34" s="11">
        <v>1030384.505</v>
      </c>
      <c r="R34" s="11">
        <v>10712</v>
      </c>
      <c r="S34" s="11">
        <v>218658.95380000002</v>
      </c>
      <c r="T34" s="30">
        <f t="shared" si="2"/>
        <v>2355729</v>
      </c>
      <c r="U34" s="30">
        <f t="shared" si="3"/>
        <v>5204230.4497999996</v>
      </c>
    </row>
    <row r="35" spans="1:21" x14ac:dyDescent="0.25">
      <c r="B35" s="9">
        <v>28</v>
      </c>
      <c r="C35" s="10" t="s">
        <v>42</v>
      </c>
      <c r="D35" s="11">
        <v>3869513</v>
      </c>
      <c r="E35" s="11">
        <v>24587521</v>
      </c>
      <c r="F35" s="11">
        <v>4337101</v>
      </c>
      <c r="G35" s="11">
        <v>13610453.443</v>
      </c>
      <c r="H35" s="11">
        <v>3397624</v>
      </c>
      <c r="I35" s="11">
        <v>19248176.936000001</v>
      </c>
      <c r="J35" s="11">
        <v>0</v>
      </c>
      <c r="K35" s="11">
        <v>0</v>
      </c>
      <c r="L35" s="11">
        <f t="shared" si="0"/>
        <v>7734725</v>
      </c>
      <c r="M35" s="11">
        <f t="shared" si="1"/>
        <v>32858630.379000001</v>
      </c>
      <c r="N35" s="11">
        <v>5057518</v>
      </c>
      <c r="O35" s="11">
        <v>8696833.3059999999</v>
      </c>
      <c r="P35" s="11">
        <v>3806527</v>
      </c>
      <c r="Q35" s="11">
        <v>8056739.1339999996</v>
      </c>
      <c r="R35" s="11">
        <v>0</v>
      </c>
      <c r="S35" s="11">
        <v>0</v>
      </c>
      <c r="T35" s="30">
        <f t="shared" si="2"/>
        <v>8864045</v>
      </c>
      <c r="U35" s="30">
        <f t="shared" si="3"/>
        <v>16753572.439999999</v>
      </c>
    </row>
    <row r="36" spans="1:21" x14ac:dyDescent="0.25">
      <c r="B36" s="9">
        <v>29</v>
      </c>
      <c r="C36" s="10" t="s">
        <v>43</v>
      </c>
      <c r="D36" s="11">
        <v>3914742</v>
      </c>
      <c r="E36" s="11">
        <v>1383312</v>
      </c>
      <c r="F36" s="11">
        <v>5343936</v>
      </c>
      <c r="G36" s="11">
        <v>19603091.932999998</v>
      </c>
      <c r="H36" s="11">
        <v>4144164</v>
      </c>
      <c r="I36" s="11">
        <v>24512259.241</v>
      </c>
      <c r="J36" s="11">
        <v>0</v>
      </c>
      <c r="K36" s="11">
        <v>0</v>
      </c>
      <c r="L36" s="11">
        <f t="shared" si="0"/>
        <v>9488100</v>
      </c>
      <c r="M36" s="11">
        <f t="shared" si="1"/>
        <v>44115351.173999995</v>
      </c>
      <c r="N36" s="11">
        <v>315582</v>
      </c>
      <c r="O36" s="11">
        <v>610519.40509999997</v>
      </c>
      <c r="P36" s="11">
        <v>144991</v>
      </c>
      <c r="Q36" s="11">
        <v>399867.08380000002</v>
      </c>
      <c r="R36" s="11">
        <v>136</v>
      </c>
      <c r="S36" s="11">
        <v>6715.1106300000001</v>
      </c>
      <c r="T36" s="30">
        <f t="shared" si="2"/>
        <v>460709</v>
      </c>
      <c r="U36" s="30">
        <f t="shared" si="3"/>
        <v>1017101.59953</v>
      </c>
    </row>
    <row r="37" spans="1:21" x14ac:dyDescent="0.25">
      <c r="B37" s="9">
        <v>30</v>
      </c>
      <c r="C37" s="10" t="s">
        <v>44</v>
      </c>
      <c r="D37" s="11">
        <v>102132</v>
      </c>
      <c r="E37" s="11">
        <v>3645317</v>
      </c>
      <c r="F37" s="11">
        <v>277896</v>
      </c>
      <c r="G37" s="11">
        <v>855279.13219999999</v>
      </c>
      <c r="H37" s="11">
        <v>241172</v>
      </c>
      <c r="I37" s="11">
        <v>1326851.6029999999</v>
      </c>
      <c r="J37" s="11">
        <v>0</v>
      </c>
      <c r="K37" s="11">
        <v>0</v>
      </c>
      <c r="L37" s="11">
        <f t="shared" si="0"/>
        <v>519068</v>
      </c>
      <c r="M37" s="11">
        <f t="shared" si="1"/>
        <v>2182130.7352</v>
      </c>
      <c r="N37" s="11">
        <v>1863522</v>
      </c>
      <c r="O37" s="11">
        <v>3266936.8020000001</v>
      </c>
      <c r="P37" s="11">
        <v>428732</v>
      </c>
      <c r="Q37" s="11">
        <v>976925.6507</v>
      </c>
      <c r="R37" s="11">
        <v>0</v>
      </c>
      <c r="S37" s="11">
        <v>0</v>
      </c>
      <c r="T37" s="30">
        <f t="shared" si="2"/>
        <v>2292254</v>
      </c>
      <c r="U37" s="30">
        <f t="shared" si="3"/>
        <v>4243862.4527000003</v>
      </c>
    </row>
    <row r="38" spans="1:21" x14ac:dyDescent="0.25">
      <c r="B38" s="9">
        <v>31</v>
      </c>
      <c r="C38" s="10" t="s">
        <v>45</v>
      </c>
      <c r="D38" s="11">
        <v>40660</v>
      </c>
      <c r="E38" s="11">
        <v>2089014</v>
      </c>
      <c r="F38" s="11">
        <v>44698</v>
      </c>
      <c r="G38" s="11">
        <v>198105.027</v>
      </c>
      <c r="H38" s="11">
        <v>21073</v>
      </c>
      <c r="I38" s="11">
        <v>103363.427</v>
      </c>
      <c r="J38" s="11">
        <v>0</v>
      </c>
      <c r="K38" s="11">
        <v>0</v>
      </c>
      <c r="L38" s="11">
        <f t="shared" si="0"/>
        <v>65771</v>
      </c>
      <c r="M38" s="11">
        <f t="shared" si="1"/>
        <v>301468.45400000003</v>
      </c>
      <c r="N38" s="11">
        <v>487441</v>
      </c>
      <c r="O38" s="11">
        <v>1027169.3386799999</v>
      </c>
      <c r="P38" s="11">
        <v>140320</v>
      </c>
      <c r="Q38" s="11">
        <v>229581.84417</v>
      </c>
      <c r="R38" s="11">
        <v>113</v>
      </c>
      <c r="S38" s="11">
        <v>298.69299999999998</v>
      </c>
      <c r="T38" s="30">
        <f t="shared" si="2"/>
        <v>627874</v>
      </c>
      <c r="U38" s="30">
        <f t="shared" si="3"/>
        <v>1257049.87585</v>
      </c>
    </row>
    <row r="39" spans="1:21" x14ac:dyDescent="0.25">
      <c r="B39" s="9">
        <v>32</v>
      </c>
      <c r="C39" s="10" t="s">
        <v>46</v>
      </c>
      <c r="D39" s="11">
        <v>1294496</v>
      </c>
      <c r="E39" s="11">
        <v>3861792</v>
      </c>
      <c r="F39" s="11">
        <v>1533286</v>
      </c>
      <c r="G39" s="11">
        <v>4385330.9589300007</v>
      </c>
      <c r="H39" s="11">
        <v>1079647</v>
      </c>
      <c r="I39" s="11">
        <v>6597157.8322099997</v>
      </c>
      <c r="J39" s="11">
        <v>0</v>
      </c>
      <c r="K39" s="11">
        <v>0</v>
      </c>
      <c r="L39" s="11">
        <f t="shared" si="0"/>
        <v>2612933</v>
      </c>
      <c r="M39" s="11">
        <f t="shared" si="1"/>
        <v>10982488.791140001</v>
      </c>
      <c r="N39" s="11">
        <v>1324133</v>
      </c>
      <c r="O39" s="11">
        <v>2433548.9485500003</v>
      </c>
      <c r="P39" s="11">
        <v>701552</v>
      </c>
      <c r="Q39" s="11">
        <v>1579811.0039300001</v>
      </c>
      <c r="R39" s="11">
        <v>51</v>
      </c>
      <c r="S39" s="11">
        <v>859.97900000000004</v>
      </c>
      <c r="T39" s="30">
        <f t="shared" si="2"/>
        <v>2025736</v>
      </c>
      <c r="U39" s="30">
        <f t="shared" si="3"/>
        <v>4014219.9314800007</v>
      </c>
    </row>
    <row r="40" spans="1:21" x14ac:dyDescent="0.25">
      <c r="B40" s="6" t="s">
        <v>47</v>
      </c>
      <c r="C40" s="8"/>
      <c r="D40" s="7"/>
      <c r="E40" s="7"/>
      <c r="F40" s="7"/>
      <c r="G40" s="11"/>
      <c r="H40" s="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30"/>
      <c r="U40" s="30"/>
    </row>
    <row r="41" spans="1:21" x14ac:dyDescent="0.25">
      <c r="B41" s="9">
        <v>33</v>
      </c>
      <c r="C41" s="10" t="s">
        <v>48</v>
      </c>
      <c r="D41" s="11">
        <v>1360776</v>
      </c>
      <c r="E41" s="11">
        <v>0</v>
      </c>
      <c r="F41" s="11">
        <v>962033</v>
      </c>
      <c r="G41" s="11">
        <v>6878349.2460000003</v>
      </c>
      <c r="H41" s="11">
        <v>3304815</v>
      </c>
      <c r="I41" s="11">
        <v>22914079.699000001</v>
      </c>
      <c r="J41" s="11">
        <v>0</v>
      </c>
      <c r="K41" s="11">
        <v>0</v>
      </c>
      <c r="L41" s="11">
        <f t="shared" si="0"/>
        <v>4266848</v>
      </c>
      <c r="M41" s="11">
        <f t="shared" si="1"/>
        <v>29792428.945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30">
        <f t="shared" si="2"/>
        <v>0</v>
      </c>
      <c r="U41" s="30">
        <f t="shared" si="3"/>
        <v>0</v>
      </c>
    </row>
    <row r="42" spans="1:21" x14ac:dyDescent="0.25">
      <c r="B42" s="9">
        <v>34</v>
      </c>
      <c r="C42" s="10" t="s">
        <v>49</v>
      </c>
      <c r="D42" s="11">
        <v>21274</v>
      </c>
      <c r="E42" s="11">
        <v>0</v>
      </c>
      <c r="F42" s="11">
        <v>30132</v>
      </c>
      <c r="G42" s="11">
        <v>128736.14562000001</v>
      </c>
      <c r="H42" s="11">
        <v>13795</v>
      </c>
      <c r="I42" s="11">
        <v>157313.49361999996</v>
      </c>
      <c r="J42" s="11">
        <v>0</v>
      </c>
      <c r="K42" s="11">
        <v>0</v>
      </c>
      <c r="L42" s="11">
        <f t="shared" si="0"/>
        <v>43927</v>
      </c>
      <c r="M42" s="11">
        <f t="shared" si="1"/>
        <v>286049.63923999999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30">
        <f t="shared" si="2"/>
        <v>0</v>
      </c>
      <c r="U42" s="30">
        <f t="shared" si="3"/>
        <v>0</v>
      </c>
    </row>
    <row r="43" spans="1:21" x14ac:dyDescent="0.25">
      <c r="B43" s="9">
        <v>35</v>
      </c>
      <c r="C43" s="10" t="s">
        <v>50</v>
      </c>
      <c r="D43" s="11">
        <v>0</v>
      </c>
      <c r="E43" s="11">
        <v>1679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f t="shared" si="0"/>
        <v>0</v>
      </c>
      <c r="M43" s="11">
        <f t="shared" si="1"/>
        <v>0</v>
      </c>
      <c r="N43" s="11">
        <v>66</v>
      </c>
      <c r="O43" s="11">
        <v>503.16699999999997</v>
      </c>
      <c r="P43" s="11">
        <v>19</v>
      </c>
      <c r="Q43" s="11">
        <v>11.797000000000001</v>
      </c>
      <c r="R43" s="11">
        <v>0</v>
      </c>
      <c r="S43" s="11">
        <v>0</v>
      </c>
      <c r="T43" s="30">
        <f t="shared" si="2"/>
        <v>85</v>
      </c>
      <c r="U43" s="30">
        <f t="shared" si="3"/>
        <v>514.96399999999994</v>
      </c>
    </row>
    <row r="44" spans="1:21" x14ac:dyDescent="0.25">
      <c r="B44" s="9">
        <v>36</v>
      </c>
      <c r="C44" s="10" t="s">
        <v>51</v>
      </c>
      <c r="D44" s="11">
        <v>2556297</v>
      </c>
      <c r="E44" s="11">
        <v>1337043</v>
      </c>
      <c r="F44" s="11">
        <v>7077220</v>
      </c>
      <c r="G44" s="11">
        <v>18751070.97199</v>
      </c>
      <c r="H44" s="11">
        <v>5414247</v>
      </c>
      <c r="I44" s="11">
        <v>23355517.65887</v>
      </c>
      <c r="J44" s="11">
        <v>0</v>
      </c>
      <c r="K44" s="11">
        <v>0</v>
      </c>
      <c r="L44" s="11">
        <f t="shared" si="0"/>
        <v>12491467</v>
      </c>
      <c r="M44" s="11">
        <f t="shared" si="1"/>
        <v>42106588.630860001</v>
      </c>
      <c r="N44" s="11">
        <v>978138</v>
      </c>
      <c r="O44" s="11">
        <v>2367630.1788699999</v>
      </c>
      <c r="P44" s="11">
        <v>995668</v>
      </c>
      <c r="Q44" s="11">
        <v>2723971.7291999999</v>
      </c>
      <c r="R44" s="11">
        <v>0</v>
      </c>
      <c r="S44" s="11">
        <v>0</v>
      </c>
      <c r="T44" s="30">
        <f t="shared" si="2"/>
        <v>1973806</v>
      </c>
      <c r="U44" s="30">
        <f t="shared" si="3"/>
        <v>5091601.9080699999</v>
      </c>
    </row>
    <row r="45" spans="1:21" x14ac:dyDescent="0.25">
      <c r="B45" s="9">
        <v>37</v>
      </c>
      <c r="C45" s="10" t="s">
        <v>52</v>
      </c>
      <c r="D45" s="11">
        <v>22031</v>
      </c>
      <c r="E45" s="11">
        <v>2060166</v>
      </c>
      <c r="F45" s="11">
        <v>23322</v>
      </c>
      <c r="G45" s="11">
        <v>80563.639249997752</v>
      </c>
      <c r="H45" s="11">
        <v>12254</v>
      </c>
      <c r="I45" s="11">
        <v>97226.167819999493</v>
      </c>
      <c r="J45" s="11">
        <v>0</v>
      </c>
      <c r="K45" s="11">
        <v>0</v>
      </c>
      <c r="L45" s="11">
        <f t="shared" si="0"/>
        <v>35576</v>
      </c>
      <c r="M45" s="11">
        <f t="shared" si="1"/>
        <v>177789.80706999724</v>
      </c>
      <c r="N45" s="11">
        <v>661703</v>
      </c>
      <c r="O45" s="11">
        <v>965593.93441999995</v>
      </c>
      <c r="P45" s="11">
        <v>267737</v>
      </c>
      <c r="Q45" s="11">
        <v>458302.17035999993</v>
      </c>
      <c r="R45" s="11">
        <v>473</v>
      </c>
      <c r="S45" s="11">
        <v>7037.5379999999996</v>
      </c>
      <c r="T45" s="30">
        <f t="shared" si="2"/>
        <v>929913</v>
      </c>
      <c r="U45" s="30">
        <f t="shared" si="3"/>
        <v>1430933.6427799999</v>
      </c>
    </row>
    <row r="46" spans="1:21" x14ac:dyDescent="0.25">
      <c r="B46" s="9">
        <v>38</v>
      </c>
      <c r="C46" s="10" t="s">
        <v>53</v>
      </c>
      <c r="D46" s="11">
        <v>0</v>
      </c>
      <c r="E46" s="11">
        <v>120095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f t="shared" si="0"/>
        <v>0</v>
      </c>
      <c r="M46" s="11">
        <f t="shared" si="1"/>
        <v>0</v>
      </c>
      <c r="N46" s="11">
        <v>62865</v>
      </c>
      <c r="O46" s="11">
        <v>151224.57467000015</v>
      </c>
      <c r="P46" s="11">
        <v>28728</v>
      </c>
      <c r="Q46" s="11">
        <v>78236.008620000008</v>
      </c>
      <c r="R46" s="11">
        <v>0</v>
      </c>
      <c r="S46" s="11">
        <v>0</v>
      </c>
      <c r="T46" s="30">
        <f t="shared" si="2"/>
        <v>91593</v>
      </c>
      <c r="U46" s="30">
        <f t="shared" si="3"/>
        <v>229460.58329000016</v>
      </c>
    </row>
    <row r="47" spans="1:21" x14ac:dyDescent="0.25">
      <c r="B47" s="9">
        <v>39</v>
      </c>
      <c r="C47" s="10" t="s">
        <v>54</v>
      </c>
      <c r="D47" s="11">
        <v>762412</v>
      </c>
      <c r="E47" s="11">
        <v>523995</v>
      </c>
      <c r="F47" s="11">
        <v>610907</v>
      </c>
      <c r="G47" s="11">
        <v>3335531.5669999998</v>
      </c>
      <c r="H47" s="11">
        <v>1066791</v>
      </c>
      <c r="I47" s="11">
        <v>3913692.7710000002</v>
      </c>
      <c r="J47" s="11">
        <v>0</v>
      </c>
      <c r="K47" s="11">
        <v>0</v>
      </c>
      <c r="L47" s="11">
        <f t="shared" si="0"/>
        <v>1677698</v>
      </c>
      <c r="M47" s="11">
        <f t="shared" si="1"/>
        <v>7249224.3379999995</v>
      </c>
      <c r="N47" s="11">
        <v>379483</v>
      </c>
      <c r="O47" s="11">
        <v>1035718.118</v>
      </c>
      <c r="P47" s="11">
        <v>0</v>
      </c>
      <c r="Q47" s="11">
        <v>0</v>
      </c>
      <c r="R47" s="11">
        <v>0</v>
      </c>
      <c r="S47" s="11">
        <v>0</v>
      </c>
      <c r="T47" s="30">
        <f t="shared" si="2"/>
        <v>379483</v>
      </c>
      <c r="U47" s="30">
        <f t="shared" si="3"/>
        <v>1035718.118</v>
      </c>
    </row>
    <row r="48" spans="1:21" x14ac:dyDescent="0.25">
      <c r="A48" s="1" t="s">
        <v>55</v>
      </c>
      <c r="B48" s="9">
        <v>40</v>
      </c>
      <c r="C48" s="10" t="s">
        <v>56</v>
      </c>
      <c r="D48" s="11">
        <v>1048914</v>
      </c>
      <c r="E48" s="11">
        <v>112254</v>
      </c>
      <c r="F48" s="11">
        <v>374874</v>
      </c>
      <c r="G48" s="11">
        <v>1534763.9187474903</v>
      </c>
      <c r="H48" s="11">
        <v>1089788</v>
      </c>
      <c r="I48" s="11">
        <v>4650711.0427624397</v>
      </c>
      <c r="J48" s="11">
        <v>0</v>
      </c>
      <c r="K48" s="11">
        <v>0</v>
      </c>
      <c r="L48" s="11">
        <f t="shared" si="0"/>
        <v>1464662</v>
      </c>
      <c r="M48" s="11">
        <f t="shared" si="1"/>
        <v>6185474.96150993</v>
      </c>
      <c r="N48" s="11">
        <v>5590</v>
      </c>
      <c r="O48" s="11">
        <v>10527.472822499851</v>
      </c>
      <c r="P48" s="11">
        <v>14985</v>
      </c>
      <c r="Q48" s="11">
        <v>26624.954017499553</v>
      </c>
      <c r="R48" s="11">
        <v>0</v>
      </c>
      <c r="S48" s="11">
        <v>0</v>
      </c>
      <c r="T48" s="30">
        <f t="shared" si="2"/>
        <v>20575</v>
      </c>
      <c r="U48" s="30">
        <f t="shared" si="3"/>
        <v>37152.426839999403</v>
      </c>
    </row>
    <row r="49" spans="1:21" x14ac:dyDescent="0.25">
      <c r="B49" s="9">
        <v>41</v>
      </c>
      <c r="C49" s="8" t="s">
        <v>57</v>
      </c>
      <c r="D49" s="11">
        <v>1325750</v>
      </c>
      <c r="E49" s="11">
        <v>1124313</v>
      </c>
      <c r="F49" s="11">
        <v>1676090</v>
      </c>
      <c r="G49" s="11">
        <v>5045067.2470000004</v>
      </c>
      <c r="H49" s="11">
        <v>1404270</v>
      </c>
      <c r="I49" s="11">
        <v>6328385.0140000004</v>
      </c>
      <c r="J49" s="11">
        <v>0</v>
      </c>
      <c r="K49" s="11">
        <v>0</v>
      </c>
      <c r="L49" s="11">
        <f t="shared" si="0"/>
        <v>3080360</v>
      </c>
      <c r="M49" s="11">
        <f t="shared" si="1"/>
        <v>11373452.261</v>
      </c>
      <c r="N49" s="11">
        <v>850733</v>
      </c>
      <c r="O49" s="11">
        <v>2056009.4480000001</v>
      </c>
      <c r="P49" s="11">
        <v>597666</v>
      </c>
      <c r="Q49" s="11">
        <v>1084012.4350000001</v>
      </c>
      <c r="R49" s="11">
        <v>21</v>
      </c>
      <c r="S49" s="11">
        <v>458.12299999999999</v>
      </c>
      <c r="T49" s="30">
        <f t="shared" si="2"/>
        <v>1448420</v>
      </c>
      <c r="U49" s="30">
        <f t="shared" si="3"/>
        <v>3140480.0060000001</v>
      </c>
    </row>
    <row r="50" spans="1:21" s="14" customFormat="1" x14ac:dyDescent="0.25">
      <c r="A50" s="12"/>
      <c r="B50" s="6" t="s">
        <v>58</v>
      </c>
      <c r="C50" s="8"/>
      <c r="D50" s="13">
        <f>SUM(D7:D49)</f>
        <v>78480799</v>
      </c>
      <c r="E50" s="13">
        <f>SUM(E7:E49)</f>
        <v>844721646</v>
      </c>
      <c r="F50" s="13">
        <f>SUM(F7:F49)</f>
        <v>120679641</v>
      </c>
      <c r="G50" s="13">
        <f>SUM(G7:G49)</f>
        <v>402752850.35593742</v>
      </c>
      <c r="H50" s="13">
        <f>SUM(H7:H49)</f>
        <v>106626573</v>
      </c>
      <c r="I50" s="13">
        <f>SUM(I7:I49)</f>
        <v>681010801.83274257</v>
      </c>
      <c r="J50" s="13">
        <f>SUM(J7:J49)</f>
        <v>9</v>
      </c>
      <c r="K50" s="13">
        <f>SUM(K7:K49)</f>
        <v>145.12651</v>
      </c>
      <c r="L50" s="29">
        <f t="shared" si="0"/>
        <v>227306223</v>
      </c>
      <c r="M50" s="29">
        <f t="shared" si="1"/>
        <v>1083763797.3151901</v>
      </c>
      <c r="N50" s="13">
        <f>SUM(N7:N49)</f>
        <v>198890277</v>
      </c>
      <c r="O50" s="13">
        <f>SUM(O7:O49)</f>
        <v>395196082.44620246</v>
      </c>
      <c r="P50" s="13">
        <f>SUM(P7:P49)</f>
        <v>104463405</v>
      </c>
      <c r="Q50" s="13">
        <f>SUM(Q7:Q49)</f>
        <v>201176897.84644735</v>
      </c>
      <c r="R50" s="13">
        <f>SUM(R7:R49)</f>
        <v>703931</v>
      </c>
      <c r="S50" s="13">
        <f>SUM(S7:S49)</f>
        <v>5580818.4844200006</v>
      </c>
      <c r="T50" s="31">
        <f t="shared" si="2"/>
        <v>304057613</v>
      </c>
      <c r="U50" s="31">
        <f t="shared" si="3"/>
        <v>601953798.77706981</v>
      </c>
    </row>
    <row r="51" spans="1:21" x14ac:dyDescent="0.25">
      <c r="A51" s="15"/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</sheetData>
  <mergeCells count="20">
    <mergeCell ref="N2:U2"/>
    <mergeCell ref="N3:U3"/>
    <mergeCell ref="F2:M2"/>
    <mergeCell ref="F3:M3"/>
    <mergeCell ref="B1:B5"/>
    <mergeCell ref="C1:C5"/>
    <mergeCell ref="D1:E1"/>
    <mergeCell ref="F1:S1"/>
    <mergeCell ref="D2:E2"/>
    <mergeCell ref="T4:U4"/>
    <mergeCell ref="D3:D5"/>
    <mergeCell ref="E3:E5"/>
    <mergeCell ref="F4:G4"/>
    <mergeCell ref="H4:I4"/>
    <mergeCell ref="J4:K4"/>
    <mergeCell ref="L4:M4"/>
    <mergeCell ref="N4:O4"/>
    <mergeCell ref="P4:Q4"/>
    <mergeCell ref="R4:S4"/>
    <mergeCell ref="B51:S51"/>
  </mergeCells>
  <pageMargins left="3.937007874015748E-2" right="0.03" top="0.17" bottom="0.23" header="7.874015748031496E-2" footer="0.1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Manas</cp:lastModifiedBy>
  <cp:lastPrinted>2022-08-26T10:14:40Z</cp:lastPrinted>
  <dcterms:created xsi:type="dcterms:W3CDTF">2022-07-19T09:34:05Z</dcterms:created>
  <dcterms:modified xsi:type="dcterms:W3CDTF">2023-07-18T15:27:53Z</dcterms:modified>
</cp:coreProperties>
</file>