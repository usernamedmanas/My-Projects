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5DCE311F-4C26-4760-AA9E-6FA8F52FEB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vised March-2023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2" l="1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9" i="2"/>
  <c r="U19" i="2"/>
  <c r="T20" i="2"/>
  <c r="U20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38" i="2"/>
  <c r="U38" i="2"/>
  <c r="T39" i="2"/>
  <c r="U39" i="2"/>
  <c r="T41" i="2"/>
  <c r="U41" i="2"/>
  <c r="T42" i="2"/>
  <c r="U42" i="2"/>
  <c r="T43" i="2"/>
  <c r="U43" i="2"/>
  <c r="T44" i="2"/>
  <c r="U44" i="2"/>
  <c r="T45" i="2"/>
  <c r="U45" i="2"/>
  <c r="T46" i="2"/>
  <c r="U46" i="2"/>
  <c r="T47" i="2"/>
  <c r="U47" i="2"/>
  <c r="T48" i="2"/>
  <c r="U48" i="2"/>
  <c r="T49" i="2"/>
  <c r="U49" i="2"/>
  <c r="T50" i="2"/>
  <c r="U50" i="2"/>
  <c r="U6" i="2"/>
  <c r="T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L39" i="2"/>
  <c r="M39" i="2"/>
  <c r="L41" i="2"/>
  <c r="M41" i="2"/>
  <c r="L42" i="2"/>
  <c r="M42" i="2"/>
  <c r="L43" i="2"/>
  <c r="M43" i="2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M6" i="2"/>
  <c r="L6" i="2"/>
  <c r="P51" i="2"/>
  <c r="O51" i="2"/>
  <c r="U51" i="2" s="1"/>
  <c r="S51" i="2"/>
  <c r="R51" i="2"/>
  <c r="Q51" i="2"/>
  <c r="N51" i="2"/>
  <c r="K51" i="2"/>
  <c r="J51" i="2"/>
  <c r="I51" i="2"/>
  <c r="H51" i="2"/>
  <c r="G51" i="2"/>
  <c r="M51" i="2" s="1"/>
  <c r="F51" i="2"/>
  <c r="E51" i="2"/>
  <c r="L51" i="2" l="1"/>
  <c r="T51" i="2"/>
  <c r="D51" i="2"/>
</calcChain>
</file>

<file path=xl/sharedStrings.xml><?xml version="1.0" encoding="utf-8"?>
<sst xmlns="http://schemas.openxmlformats.org/spreadsheetml/2006/main" count="78" uniqueCount="58">
  <si>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</si>
  <si>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</si>
  <si>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</si>
  <si>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</si>
  <si>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</si>
  <si>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</si>
  <si>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</si>
  <si>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</si>
  <si>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Volume (in actuals)</t>
  </si>
  <si>
    <t>Value (in Rs'000)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</si>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</sst>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1" xfId="0" applyFont="1" applyFill="1" applyBorder="1" applyProtection="1"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0" borderId="0" xfId="0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right"/>
    </xf>
    <xf numFmtId="1" fontId="5" fillId="0" borderId="1" xfId="0" applyNumberFormat="1" applyFont="1" applyBorder="1"/>
    <xf numFmtId="0" fontId="5" fillId="0" borderId="0" xfId="0" applyFont="1"/>
    <xf numFmtId="0" fontId="4" fillId="0" borderId="0" xfId="0" applyFont="1"/>
    <xf numFmtId="0" fontId="4" fillId="0" borderId="0" xfId="0" applyFont="1" applyAlignment="1" applyProtection="1">
      <alignment horizontal="left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5" fillId="0" borderId="1" xfId="0" applyFont="1" applyBorder="1" applyProtection="1">
      <protection locked="0"/>
    </xf>
    <xf numFmtId="1" fontId="4" fillId="0" borderId="1" xfId="0" applyNumberFormat="1" applyFont="1" applyBorder="1" applyAlignment="1">
      <alignment horizontal="right" vertical="center"/>
    </xf>
    <xf numFmtId="1" fontId="4" fillId="2" borderId="1" xfId="0" applyNumberFormat="1" applyFont="1" applyFill="1" applyBorder="1"/>
    <xf numFmtId="1" fontId="5" fillId="2" borderId="0" xfId="0" applyNumberFormat="1" applyFont="1" applyFill="1"/>
    <xf numFmtId="1" fontId="4" fillId="2" borderId="0" xfId="0" applyNumberFormat="1" applyFont="1" applyFill="1"/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U52"/>
  <sheetViews>
    <sheetView tabSelected="1" zoomScale="85" zoomScaleNormal="85" workbookViewId="0">
      <pane xSplit="3" ySplit="4" topLeftCell="D5" activePane="bottomRight" state="frozen"/>
      <selection activeCell="C49" sqref="C49:AE49"/>
      <selection pane="topRight" activeCell="C49" sqref="C49:AE49"/>
      <selection pane="bottomLeft" activeCell="C49" sqref="C49:AE49"/>
      <selection pane="bottomRight" sqref="A1:XFD1"/>
    </sheetView>
  </sheetViews>
  <sheetFormatPr defaultColWidth="8.88671875" defaultRowHeight="13.2" x14ac:dyDescent="0.25"/>
  <cols>
    <col min="1" max="1" width="5.109375" style="9" bestFit="1" customWidth="1"/>
    <col min="2" max="2" width="5.44140625" style="10" customWidth="1"/>
    <col min="3" max="3" width="49.44140625" style="10" customWidth="1"/>
    <col min="4" max="4" width="9.5546875" style="10" customWidth="1"/>
    <col min="5" max="5" width="10.6640625" style="10" customWidth="1"/>
    <col min="6" max="6" width="10.33203125" style="10" bestFit="1" customWidth="1"/>
    <col min="7" max="9" width="10" style="10" bestFit="1" customWidth="1"/>
    <col min="10" max="10" width="8.5546875" style="10" bestFit="1" customWidth="1"/>
    <col min="11" max="11" width="7.44140625" style="10" customWidth="1"/>
    <col min="12" max="12" width="11.77734375" style="10" customWidth="1"/>
    <col min="13" max="13" width="11.6640625" style="10" customWidth="1"/>
    <col min="14" max="15" width="10" style="10" bestFit="1" customWidth="1"/>
    <col min="16" max="16" width="11.44140625" style="10" bestFit="1" customWidth="1"/>
    <col min="17" max="17" width="10" style="10" bestFit="1" customWidth="1"/>
    <col min="18" max="18" width="8.5546875" style="10" bestFit="1" customWidth="1"/>
    <col min="19" max="19" width="8" style="10" bestFit="1" customWidth="1"/>
    <col min="20" max="20" width="12.33203125" style="10" customWidth="1"/>
    <col min="21" max="21" width="11" style="10" customWidth="1"/>
    <col min="22" max="16384" width="8.88671875" style="10"/>
  </cols>
  <sheetData>
    <row r="1" spans="1:21" x14ac:dyDescent="0.25">
      <c r="B1" s="37"/>
      <c r="C1" s="38"/>
      <c r="D1" s="37"/>
      <c r="E1" s="37"/>
      <c r="F1" s="32" t="s">
        <v>0</v>
      </c>
      <c r="G1" s="33"/>
      <c r="H1" s="33"/>
      <c r="I1" s="33"/>
      <c r="J1" s="33"/>
      <c r="K1" s="33"/>
      <c r="L1" s="33"/>
      <c r="M1" s="34"/>
      <c r="N1" s="35" t="s">
        <v>1</v>
      </c>
      <c r="O1" s="36"/>
      <c r="P1" s="36"/>
      <c r="Q1" s="36"/>
      <c r="R1" s="36"/>
      <c r="S1" s="36"/>
      <c r="T1" s="36"/>
      <c r="U1" s="36"/>
    </row>
    <row r="2" spans="1:21" x14ac:dyDescent="0.25">
      <c r="B2" s="37"/>
      <c r="C2" s="38"/>
      <c r="D2" s="37" t="s">
        <v>2</v>
      </c>
      <c r="E2" s="37" t="s">
        <v>3</v>
      </c>
      <c r="F2" s="32" t="s">
        <v>4</v>
      </c>
      <c r="G2" s="33"/>
      <c r="H2" s="33"/>
      <c r="I2" s="33"/>
      <c r="J2" s="33"/>
      <c r="K2" s="33"/>
      <c r="L2" s="33"/>
      <c r="M2" s="34"/>
      <c r="N2" s="35" t="s">
        <v>4</v>
      </c>
      <c r="O2" s="36"/>
      <c r="P2" s="36"/>
      <c r="Q2" s="36"/>
      <c r="R2" s="36"/>
      <c r="S2" s="36"/>
      <c r="T2" s="36"/>
      <c r="U2" s="36"/>
    </row>
    <row r="3" spans="1:21" x14ac:dyDescent="0.25">
      <c r="B3" s="37"/>
      <c r="C3" s="38"/>
      <c r="D3" s="37"/>
      <c r="E3" s="37"/>
      <c r="F3" s="37" t="s">
        <v>5</v>
      </c>
      <c r="G3" s="37"/>
      <c r="H3" s="37" t="s">
        <v>6</v>
      </c>
      <c r="I3" s="37"/>
      <c r="J3" s="38" t="s">
        <v>7</v>
      </c>
      <c r="K3" s="38"/>
      <c r="L3" s="32" t="s">
        <v>57</v>
      </c>
      <c r="M3" s="34"/>
      <c r="N3" s="37" t="s">
        <v>5</v>
      </c>
      <c r="O3" s="37"/>
      <c r="P3" s="37" t="s">
        <v>6</v>
      </c>
      <c r="Q3" s="37"/>
      <c r="R3" s="38" t="s">
        <v>7</v>
      </c>
      <c r="S3" s="38"/>
      <c r="T3" s="32" t="s">
        <v>57</v>
      </c>
      <c r="U3" s="34"/>
    </row>
    <row r="4" spans="1:21" s="15" customFormat="1" ht="47.25" customHeight="1" x14ac:dyDescent="0.3">
      <c r="A4" s="14"/>
      <c r="B4" s="37"/>
      <c r="C4" s="38"/>
      <c r="D4" s="37"/>
      <c r="E4" s="37"/>
      <c r="F4" s="12" t="s">
        <v>8</v>
      </c>
      <c r="G4" s="12" t="s">
        <v>9</v>
      </c>
      <c r="H4" s="12" t="s">
        <v>8</v>
      </c>
      <c r="I4" s="12" t="s">
        <v>9</v>
      </c>
      <c r="J4" s="12" t="s">
        <v>8</v>
      </c>
      <c r="K4" s="12" t="s">
        <v>9</v>
      </c>
      <c r="L4" s="12" t="s">
        <v>8</v>
      </c>
      <c r="M4" s="12" t="s">
        <v>9</v>
      </c>
      <c r="N4" s="12" t="s">
        <v>8</v>
      </c>
      <c r="O4" s="12" t="s">
        <v>9</v>
      </c>
      <c r="P4" s="12" t="s">
        <v>8</v>
      </c>
      <c r="Q4" s="12" t="s">
        <v>9</v>
      </c>
      <c r="R4" s="12" t="s">
        <v>8</v>
      </c>
      <c r="S4" s="12" t="s">
        <v>9</v>
      </c>
      <c r="T4" s="12" t="s">
        <v>8</v>
      </c>
      <c r="U4" s="12" t="s">
        <v>9</v>
      </c>
    </row>
    <row r="5" spans="1:21" x14ac:dyDescent="0.25">
      <c r="B5" s="8" t="s">
        <v>10</v>
      </c>
      <c r="C5" s="1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1" x14ac:dyDescent="0.25">
      <c r="B6" s="13">
        <v>1</v>
      </c>
      <c r="C6" s="3" t="s">
        <v>11</v>
      </c>
      <c r="D6" s="4">
        <v>1947283</v>
      </c>
      <c r="E6" s="4">
        <v>82585036</v>
      </c>
      <c r="F6" s="5">
        <v>2224205</v>
      </c>
      <c r="G6" s="5">
        <v>6888481.0492000012</v>
      </c>
      <c r="H6" s="5">
        <v>2027994</v>
      </c>
      <c r="I6" s="5">
        <v>11176685.755889999</v>
      </c>
      <c r="J6" s="5">
        <v>0</v>
      </c>
      <c r="K6" s="5">
        <v>0</v>
      </c>
      <c r="L6" s="5">
        <f>J6+H6+F6</f>
        <v>4252199</v>
      </c>
      <c r="M6" s="5">
        <f>K6+I6+G6</f>
        <v>18065166.805089999</v>
      </c>
      <c r="N6" s="5">
        <v>6195899</v>
      </c>
      <c r="O6" s="5">
        <v>12180467.311640002</v>
      </c>
      <c r="P6" s="5">
        <v>1968492</v>
      </c>
      <c r="Q6" s="5">
        <v>5512103.9306300003</v>
      </c>
      <c r="R6" s="5">
        <v>3</v>
      </c>
      <c r="S6" s="5">
        <v>4</v>
      </c>
      <c r="T6" s="30">
        <f>R6+P6+N6</f>
        <v>8164394</v>
      </c>
      <c r="U6" s="30">
        <f>S6+Q6+O6</f>
        <v>17692575.24227</v>
      </c>
    </row>
    <row r="7" spans="1:21" x14ac:dyDescent="0.25">
      <c r="B7" s="13">
        <v>2</v>
      </c>
      <c r="C7" s="3" t="s">
        <v>12</v>
      </c>
      <c r="D7" s="4">
        <v>77101</v>
      </c>
      <c r="E7" s="4">
        <v>47125002</v>
      </c>
      <c r="F7" s="5">
        <v>153719</v>
      </c>
      <c r="G7" s="5">
        <v>532801.83675999998</v>
      </c>
      <c r="H7" s="5">
        <v>70907</v>
      </c>
      <c r="I7" s="5">
        <v>270779.28012000001</v>
      </c>
      <c r="J7" s="5">
        <v>0</v>
      </c>
      <c r="K7" s="5">
        <v>0</v>
      </c>
      <c r="L7" s="5">
        <f t="shared" ref="L7:L51" si="0">J7+H7+F7</f>
        <v>224626</v>
      </c>
      <c r="M7" s="5">
        <f t="shared" ref="M7:M51" si="1">K7+I7+G7</f>
        <v>803581.11687999999</v>
      </c>
      <c r="N7" s="5">
        <v>4158217</v>
      </c>
      <c r="O7" s="5">
        <v>7417777.4179699989</v>
      </c>
      <c r="P7" s="5">
        <v>1589268</v>
      </c>
      <c r="Q7" s="5">
        <v>2497578.7524299999</v>
      </c>
      <c r="R7" s="5">
        <v>0</v>
      </c>
      <c r="S7" s="5">
        <v>0</v>
      </c>
      <c r="T7" s="30">
        <f t="shared" ref="T7:T51" si="2">R7+P7+N7</f>
        <v>5747485</v>
      </c>
      <c r="U7" s="30">
        <f t="shared" ref="U7:U51" si="3">S7+Q7+O7</f>
        <v>9915356.1703999992</v>
      </c>
    </row>
    <row r="8" spans="1:21" x14ac:dyDescent="0.25">
      <c r="B8" s="13">
        <v>3</v>
      </c>
      <c r="C8" s="6" t="s">
        <v>13</v>
      </c>
      <c r="D8" s="7">
        <v>33493</v>
      </c>
      <c r="E8" s="7">
        <v>13377060</v>
      </c>
      <c r="F8" s="5">
        <v>57199</v>
      </c>
      <c r="G8" s="5">
        <v>237965.4140800001</v>
      </c>
      <c r="H8" s="5">
        <v>25062</v>
      </c>
      <c r="I8" s="5">
        <v>134698.10892999999</v>
      </c>
      <c r="J8" s="5">
        <v>0</v>
      </c>
      <c r="K8" s="5">
        <v>0</v>
      </c>
      <c r="L8" s="5">
        <f t="shared" si="0"/>
        <v>82261</v>
      </c>
      <c r="M8" s="5">
        <f t="shared" si="1"/>
        <v>372663.52301000012</v>
      </c>
      <c r="N8" s="5">
        <v>1736343</v>
      </c>
      <c r="O8" s="5">
        <v>2773388.55608</v>
      </c>
      <c r="P8" s="5">
        <v>664967</v>
      </c>
      <c r="Q8" s="5">
        <v>1028880.8943200001</v>
      </c>
      <c r="R8" s="5">
        <v>7988</v>
      </c>
      <c r="S8" s="5">
        <v>90229.538480000003</v>
      </c>
      <c r="T8" s="30">
        <f t="shared" si="2"/>
        <v>2409298</v>
      </c>
      <c r="U8" s="30">
        <f t="shared" si="3"/>
        <v>3892498.9888800001</v>
      </c>
    </row>
    <row r="9" spans="1:21" x14ac:dyDescent="0.25">
      <c r="B9" s="13">
        <v>4</v>
      </c>
      <c r="C9" s="3" t="s">
        <v>14</v>
      </c>
      <c r="D9" s="4">
        <v>624417</v>
      </c>
      <c r="E9" s="4">
        <v>51324626</v>
      </c>
      <c r="F9" s="5">
        <v>786830</v>
      </c>
      <c r="G9" s="5">
        <v>2276109.1052899999</v>
      </c>
      <c r="H9" s="5">
        <v>315405</v>
      </c>
      <c r="I9" s="5">
        <v>1342530.8483199999</v>
      </c>
      <c r="J9" s="5">
        <v>0</v>
      </c>
      <c r="K9" s="5">
        <v>0</v>
      </c>
      <c r="L9" s="5">
        <f t="shared" si="0"/>
        <v>1102235</v>
      </c>
      <c r="M9" s="5">
        <f t="shared" si="1"/>
        <v>3618639.9536099997</v>
      </c>
      <c r="N9" s="5">
        <v>8408688</v>
      </c>
      <c r="O9" s="5">
        <v>17992152.357639994</v>
      </c>
      <c r="P9" s="5">
        <v>2168674</v>
      </c>
      <c r="Q9" s="5">
        <v>4979935.8580600005</v>
      </c>
      <c r="R9" s="5">
        <v>5731</v>
      </c>
      <c r="S9" s="5">
        <v>94598.849000000002</v>
      </c>
      <c r="T9" s="30">
        <f t="shared" si="2"/>
        <v>10583093</v>
      </c>
      <c r="U9" s="30">
        <f t="shared" si="3"/>
        <v>23066687.064699996</v>
      </c>
    </row>
    <row r="10" spans="1:21" s="23" customFormat="1" x14ac:dyDescent="0.25">
      <c r="A10" s="18"/>
      <c r="B10" s="19">
        <v>5</v>
      </c>
      <c r="C10" s="20" t="s">
        <v>15</v>
      </c>
      <c r="D10" s="21">
        <v>0</v>
      </c>
      <c r="E10" s="21">
        <v>28360519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5">
        <f t="shared" si="0"/>
        <v>0</v>
      </c>
      <c r="M10" s="5">
        <f t="shared" si="1"/>
        <v>0</v>
      </c>
      <c r="N10" s="22">
        <v>2249664</v>
      </c>
      <c r="O10" s="22">
        <v>4836896.9170000004</v>
      </c>
      <c r="P10" s="22">
        <v>501662</v>
      </c>
      <c r="Q10" s="22">
        <v>1150194.3330000001</v>
      </c>
      <c r="R10" s="22">
        <v>0</v>
      </c>
      <c r="S10" s="22">
        <v>0</v>
      </c>
      <c r="T10" s="30">
        <f t="shared" si="2"/>
        <v>2751326</v>
      </c>
      <c r="U10" s="30">
        <f t="shared" si="3"/>
        <v>5987091.25</v>
      </c>
    </row>
    <row r="11" spans="1:21" x14ac:dyDescent="0.25">
      <c r="B11" s="13">
        <v>6</v>
      </c>
      <c r="C11" s="3" t="s">
        <v>16</v>
      </c>
      <c r="D11" s="4">
        <v>170304</v>
      </c>
      <c r="E11" s="4">
        <v>31414438</v>
      </c>
      <c r="F11" s="5">
        <v>134122</v>
      </c>
      <c r="G11" s="5">
        <v>463970.82</v>
      </c>
      <c r="H11" s="5">
        <v>69711</v>
      </c>
      <c r="I11" s="5">
        <v>309608.89399999997</v>
      </c>
      <c r="J11" s="5">
        <v>0</v>
      </c>
      <c r="K11" s="5">
        <v>0</v>
      </c>
      <c r="L11" s="5">
        <f t="shared" si="0"/>
        <v>203833</v>
      </c>
      <c r="M11" s="5">
        <f t="shared" si="1"/>
        <v>773579.71399999992</v>
      </c>
      <c r="N11" s="5">
        <v>4844410</v>
      </c>
      <c r="O11" s="5">
        <v>9418157.9578300007</v>
      </c>
      <c r="P11" s="5">
        <v>1945974</v>
      </c>
      <c r="Q11" s="5">
        <v>3426159.284</v>
      </c>
      <c r="R11" s="5">
        <v>4530</v>
      </c>
      <c r="S11" s="5">
        <v>72513.255819999991</v>
      </c>
      <c r="T11" s="30">
        <f t="shared" si="2"/>
        <v>6794914</v>
      </c>
      <c r="U11" s="30">
        <f t="shared" si="3"/>
        <v>12916830.497650001</v>
      </c>
    </row>
    <row r="12" spans="1:21" x14ac:dyDescent="0.25">
      <c r="B12" s="13">
        <v>7</v>
      </c>
      <c r="C12" s="3" t="s">
        <v>17</v>
      </c>
      <c r="D12" s="4">
        <v>79819</v>
      </c>
      <c r="E12" s="4">
        <v>16460769</v>
      </c>
      <c r="F12" s="5">
        <v>74384</v>
      </c>
      <c r="G12" s="5">
        <v>191985.99872</v>
      </c>
      <c r="H12" s="5">
        <v>27945</v>
      </c>
      <c r="I12" s="5">
        <v>82483.662360000002</v>
      </c>
      <c r="J12" s="5">
        <v>0</v>
      </c>
      <c r="K12" s="5">
        <v>0</v>
      </c>
      <c r="L12" s="5">
        <f t="shared" si="0"/>
        <v>102329</v>
      </c>
      <c r="M12" s="5">
        <f t="shared" si="1"/>
        <v>274469.66107999999</v>
      </c>
      <c r="N12" s="5">
        <v>3220993</v>
      </c>
      <c r="O12" s="5">
        <v>6020500.8786599999</v>
      </c>
      <c r="P12" s="5">
        <v>896314</v>
      </c>
      <c r="Q12" s="5">
        <v>1697675.4946600001</v>
      </c>
      <c r="R12" s="5">
        <v>0</v>
      </c>
      <c r="S12" s="5">
        <v>0</v>
      </c>
      <c r="T12" s="30">
        <f t="shared" si="2"/>
        <v>4117307</v>
      </c>
      <c r="U12" s="30">
        <f t="shared" si="3"/>
        <v>7718176.3733200002</v>
      </c>
    </row>
    <row r="13" spans="1:21" x14ac:dyDescent="0.25">
      <c r="B13" s="13">
        <v>8</v>
      </c>
      <c r="C13" s="3" t="s">
        <v>18</v>
      </c>
      <c r="D13" s="4">
        <v>0</v>
      </c>
      <c r="E13" s="4">
        <v>3749801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f t="shared" si="0"/>
        <v>0</v>
      </c>
      <c r="M13" s="5">
        <f t="shared" si="1"/>
        <v>0</v>
      </c>
      <c r="N13" s="5">
        <v>642973</v>
      </c>
      <c r="O13" s="5">
        <v>1402987.37858</v>
      </c>
      <c r="P13" s="5">
        <v>136326</v>
      </c>
      <c r="Q13" s="5">
        <v>423188.25701000006</v>
      </c>
      <c r="R13" s="5">
        <v>0</v>
      </c>
      <c r="S13" s="5">
        <v>0</v>
      </c>
      <c r="T13" s="30">
        <f t="shared" si="2"/>
        <v>779299</v>
      </c>
      <c r="U13" s="30">
        <f t="shared" si="3"/>
        <v>1826175.6355900001</v>
      </c>
    </row>
    <row r="14" spans="1:21" x14ac:dyDescent="0.25">
      <c r="B14" s="13">
        <v>9</v>
      </c>
      <c r="C14" s="3" t="s">
        <v>19</v>
      </c>
      <c r="D14" s="4">
        <v>316860</v>
      </c>
      <c r="E14" s="4">
        <v>40691768</v>
      </c>
      <c r="F14" s="5">
        <v>494676</v>
      </c>
      <c r="G14" s="5">
        <v>1734871.79317</v>
      </c>
      <c r="H14" s="5">
        <v>199625</v>
      </c>
      <c r="I14" s="5">
        <v>800955.70860999997</v>
      </c>
      <c r="J14" s="5">
        <v>0</v>
      </c>
      <c r="K14" s="5">
        <v>0</v>
      </c>
      <c r="L14" s="5">
        <f t="shared" si="0"/>
        <v>694301</v>
      </c>
      <c r="M14" s="5">
        <f t="shared" si="1"/>
        <v>2535827.50178</v>
      </c>
      <c r="N14" s="5">
        <v>6769802</v>
      </c>
      <c r="O14" s="5">
        <v>14963223.152479999</v>
      </c>
      <c r="P14" s="5">
        <v>3355745</v>
      </c>
      <c r="Q14" s="5">
        <v>6680745.0103500001</v>
      </c>
      <c r="R14" s="5">
        <v>0</v>
      </c>
      <c r="S14" s="5">
        <v>0</v>
      </c>
      <c r="T14" s="30">
        <f t="shared" si="2"/>
        <v>10125547</v>
      </c>
      <c r="U14" s="30">
        <f t="shared" si="3"/>
        <v>21643968.162829999</v>
      </c>
    </row>
    <row r="15" spans="1:21" x14ac:dyDescent="0.25">
      <c r="B15" s="13">
        <v>10</v>
      </c>
      <c r="C15" s="3" t="s">
        <v>20</v>
      </c>
      <c r="D15" s="4">
        <v>16762444</v>
      </c>
      <c r="E15" s="4">
        <v>273903638</v>
      </c>
      <c r="F15" s="5">
        <v>27322424</v>
      </c>
      <c r="G15" s="5">
        <v>86632553.026999995</v>
      </c>
      <c r="H15" s="5">
        <v>20206076</v>
      </c>
      <c r="I15" s="5">
        <v>159694711.07499999</v>
      </c>
      <c r="J15" s="5">
        <v>0</v>
      </c>
      <c r="K15" s="5">
        <v>0</v>
      </c>
      <c r="L15" s="5">
        <f t="shared" si="0"/>
        <v>47528500</v>
      </c>
      <c r="M15" s="5">
        <f t="shared" si="1"/>
        <v>246327264.102</v>
      </c>
      <c r="N15" s="5">
        <v>49282755</v>
      </c>
      <c r="O15" s="5">
        <v>100159940.14161</v>
      </c>
      <c r="P15" s="5">
        <v>19575152</v>
      </c>
      <c r="Q15" s="5">
        <v>38193220.951160006</v>
      </c>
      <c r="R15" s="5">
        <v>1755</v>
      </c>
      <c r="S15" s="5">
        <v>23109.109789999999</v>
      </c>
      <c r="T15" s="30">
        <f t="shared" si="2"/>
        <v>68859662</v>
      </c>
      <c r="U15" s="30">
        <f t="shared" si="3"/>
        <v>138376270.20256001</v>
      </c>
    </row>
    <row r="16" spans="1:21" x14ac:dyDescent="0.25">
      <c r="B16" s="13">
        <v>11</v>
      </c>
      <c r="C16" s="3" t="s">
        <v>21</v>
      </c>
      <c r="D16" s="4">
        <v>0</v>
      </c>
      <c r="E16" s="4">
        <v>12526099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f t="shared" si="0"/>
        <v>0</v>
      </c>
      <c r="M16" s="5">
        <f t="shared" si="1"/>
        <v>0</v>
      </c>
      <c r="N16" s="5">
        <v>1931756</v>
      </c>
      <c r="O16" s="5">
        <v>3620368.8611300001</v>
      </c>
      <c r="P16" s="5">
        <v>455215</v>
      </c>
      <c r="Q16" s="5">
        <v>1077396.6505199999</v>
      </c>
      <c r="R16" s="5">
        <v>1095</v>
      </c>
      <c r="S16" s="5">
        <v>17997.389169999999</v>
      </c>
      <c r="T16" s="30">
        <f t="shared" si="2"/>
        <v>2388066</v>
      </c>
      <c r="U16" s="30">
        <f t="shared" si="3"/>
        <v>4715762.9008200001</v>
      </c>
    </row>
    <row r="17" spans="1:21" x14ac:dyDescent="0.25">
      <c r="B17" s="13">
        <v>12</v>
      </c>
      <c r="C17" s="3" t="s">
        <v>22</v>
      </c>
      <c r="D17" s="4">
        <v>645447</v>
      </c>
      <c r="E17" s="4">
        <v>50134669</v>
      </c>
      <c r="F17" s="5">
        <v>542780</v>
      </c>
      <c r="G17" s="5">
        <v>1958718.2932500001</v>
      </c>
      <c r="H17" s="5">
        <v>361433</v>
      </c>
      <c r="I17" s="5">
        <v>1423780.7667100001</v>
      </c>
      <c r="J17" s="5">
        <v>0</v>
      </c>
      <c r="K17" s="5">
        <v>0</v>
      </c>
      <c r="L17" s="5">
        <f t="shared" si="0"/>
        <v>904213</v>
      </c>
      <c r="M17" s="5">
        <f t="shared" si="1"/>
        <v>3382499.0599600002</v>
      </c>
      <c r="N17" s="5">
        <v>8157542</v>
      </c>
      <c r="O17" s="5">
        <v>14614311.706</v>
      </c>
      <c r="P17" s="5">
        <v>4183472</v>
      </c>
      <c r="Q17" s="5">
        <v>7002206.7379999999</v>
      </c>
      <c r="R17" s="5">
        <v>1919</v>
      </c>
      <c r="S17" s="5">
        <v>8984.8230000000003</v>
      </c>
      <c r="T17" s="30">
        <f t="shared" si="2"/>
        <v>12342933</v>
      </c>
      <c r="U17" s="30">
        <f t="shared" si="3"/>
        <v>21625503.267000001</v>
      </c>
    </row>
    <row r="18" spans="1:21" x14ac:dyDescent="0.25">
      <c r="B18" s="8" t="s">
        <v>23</v>
      </c>
      <c r="C18" s="11"/>
      <c r="D18" s="1"/>
      <c r="E18" s="1"/>
      <c r="F18" s="2"/>
      <c r="G18" s="2"/>
      <c r="H18" s="2"/>
      <c r="I18" s="2"/>
      <c r="J18" s="2"/>
      <c r="K18" s="2"/>
      <c r="L18" s="5"/>
      <c r="M18" s="5"/>
      <c r="N18" s="5"/>
      <c r="O18" s="5"/>
      <c r="P18" s="5"/>
      <c r="Q18" s="5"/>
      <c r="R18" s="5"/>
      <c r="S18" s="5"/>
      <c r="T18" s="30"/>
      <c r="U18" s="30"/>
    </row>
    <row r="19" spans="1:21" s="23" customFormat="1" x14ac:dyDescent="0.25">
      <c r="A19" s="18"/>
      <c r="B19" s="19">
        <v>13</v>
      </c>
      <c r="C19" s="20" t="s">
        <v>24</v>
      </c>
      <c r="D19" s="21">
        <v>12127172</v>
      </c>
      <c r="E19" s="21">
        <v>30241706</v>
      </c>
      <c r="F19" s="22">
        <v>28385038</v>
      </c>
      <c r="G19" s="22">
        <v>85539623.532199994</v>
      </c>
      <c r="H19" s="22">
        <v>16123963</v>
      </c>
      <c r="I19" s="22">
        <v>78957411.440139994</v>
      </c>
      <c r="J19" s="22">
        <v>0</v>
      </c>
      <c r="K19" s="22">
        <v>0</v>
      </c>
      <c r="L19" s="5">
        <f t="shared" si="0"/>
        <v>44509001</v>
      </c>
      <c r="M19" s="5">
        <f t="shared" si="1"/>
        <v>164497034.97233999</v>
      </c>
      <c r="N19" s="22">
        <v>9196486</v>
      </c>
      <c r="O19" s="22">
        <v>22187563.604949996</v>
      </c>
      <c r="P19" s="22">
        <v>4443197</v>
      </c>
      <c r="Q19" s="22">
        <v>16168581.378310001</v>
      </c>
      <c r="R19" s="22">
        <v>17752</v>
      </c>
      <c r="S19" s="22">
        <v>453761.73339000001</v>
      </c>
      <c r="T19" s="30">
        <f t="shared" si="2"/>
        <v>13657435</v>
      </c>
      <c r="U19" s="30">
        <f t="shared" si="3"/>
        <v>38809906.716649994</v>
      </c>
    </row>
    <row r="20" spans="1:21" x14ac:dyDescent="0.25">
      <c r="B20" s="13">
        <v>14</v>
      </c>
      <c r="C20" s="3" t="s">
        <v>25</v>
      </c>
      <c r="D20" s="4">
        <v>0</v>
      </c>
      <c r="E20" s="4">
        <v>5361293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f t="shared" si="0"/>
        <v>0</v>
      </c>
      <c r="M20" s="5">
        <f t="shared" si="1"/>
        <v>0</v>
      </c>
      <c r="N20" s="5">
        <v>450443</v>
      </c>
      <c r="O20" s="5">
        <v>1159378.0343799999</v>
      </c>
      <c r="P20" s="5">
        <v>202320</v>
      </c>
      <c r="Q20" s="5">
        <v>655587.69328000001</v>
      </c>
      <c r="R20" s="5">
        <v>0</v>
      </c>
      <c r="S20" s="5">
        <v>0</v>
      </c>
      <c r="T20" s="30">
        <f t="shared" si="2"/>
        <v>652763</v>
      </c>
      <c r="U20" s="30">
        <f t="shared" si="3"/>
        <v>1814965.7276599999</v>
      </c>
    </row>
    <row r="21" spans="1:21" x14ac:dyDescent="0.25">
      <c r="B21" s="13">
        <v>15</v>
      </c>
      <c r="C21" s="3" t="s">
        <v>26</v>
      </c>
      <c r="D21" s="4">
        <v>6059</v>
      </c>
      <c r="E21" s="4">
        <v>2745671</v>
      </c>
      <c r="F21" s="5">
        <v>9783</v>
      </c>
      <c r="G21" s="5">
        <v>32985.644440000004</v>
      </c>
      <c r="H21" s="5">
        <v>4342</v>
      </c>
      <c r="I21" s="5">
        <v>29473.305959999998</v>
      </c>
      <c r="J21" s="5">
        <v>0</v>
      </c>
      <c r="K21" s="5">
        <v>0</v>
      </c>
      <c r="L21" s="5">
        <f t="shared" si="0"/>
        <v>14125</v>
      </c>
      <c r="M21" s="5">
        <f t="shared" si="1"/>
        <v>62458.950400000002</v>
      </c>
      <c r="N21" s="5">
        <v>721433</v>
      </c>
      <c r="O21" s="5">
        <v>1473868.4786200002</v>
      </c>
      <c r="P21" s="5">
        <v>119581</v>
      </c>
      <c r="Q21" s="5">
        <v>274085.28254000004</v>
      </c>
      <c r="R21" s="5">
        <v>0</v>
      </c>
      <c r="S21" s="5">
        <v>0</v>
      </c>
      <c r="T21" s="30">
        <f t="shared" si="2"/>
        <v>841014</v>
      </c>
      <c r="U21" s="30">
        <f t="shared" si="3"/>
        <v>1747953.7611600002</v>
      </c>
    </row>
    <row r="22" spans="1:21" x14ac:dyDescent="0.25">
      <c r="B22" s="13">
        <v>16</v>
      </c>
      <c r="C22" s="3" t="s">
        <v>27</v>
      </c>
      <c r="D22" s="4">
        <v>6460</v>
      </c>
      <c r="E22" s="4">
        <v>886810</v>
      </c>
      <c r="F22" s="5">
        <v>16702</v>
      </c>
      <c r="G22" s="5">
        <v>67308.98523999902</v>
      </c>
      <c r="H22" s="5">
        <v>13210</v>
      </c>
      <c r="I22" s="5">
        <v>140499.38024999932</v>
      </c>
      <c r="J22" s="5">
        <v>0</v>
      </c>
      <c r="K22" s="5">
        <v>0</v>
      </c>
      <c r="L22" s="5">
        <f t="shared" si="0"/>
        <v>29912</v>
      </c>
      <c r="M22" s="5">
        <f t="shared" si="1"/>
        <v>207808.36548999834</v>
      </c>
      <c r="N22" s="5">
        <v>236202</v>
      </c>
      <c r="O22" s="5">
        <v>420205.24781000003</v>
      </c>
      <c r="P22" s="5">
        <v>29308</v>
      </c>
      <c r="Q22" s="5">
        <v>69970.358129999993</v>
      </c>
      <c r="R22" s="5">
        <v>18</v>
      </c>
      <c r="S22" s="5">
        <v>138.6</v>
      </c>
      <c r="T22" s="30">
        <f t="shared" si="2"/>
        <v>265528</v>
      </c>
      <c r="U22" s="30">
        <f t="shared" si="3"/>
        <v>490314.20594000001</v>
      </c>
    </row>
    <row r="23" spans="1:21" x14ac:dyDescent="0.25">
      <c r="B23" s="13">
        <v>17</v>
      </c>
      <c r="C23" s="3" t="s">
        <v>28</v>
      </c>
      <c r="D23" s="4">
        <v>0</v>
      </c>
      <c r="E23" s="4">
        <v>951516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f t="shared" si="0"/>
        <v>0</v>
      </c>
      <c r="M23" s="5">
        <f t="shared" si="1"/>
        <v>0</v>
      </c>
      <c r="N23" s="5">
        <v>130195</v>
      </c>
      <c r="O23" s="5">
        <v>329190.99138999998</v>
      </c>
      <c r="P23" s="5">
        <v>29391</v>
      </c>
      <c r="Q23" s="5">
        <v>134716.00352</v>
      </c>
      <c r="R23" s="5">
        <v>384</v>
      </c>
      <c r="S23" s="5">
        <v>11319.404</v>
      </c>
      <c r="T23" s="30">
        <f t="shared" si="2"/>
        <v>159970</v>
      </c>
      <c r="U23" s="30">
        <f t="shared" si="3"/>
        <v>475226.39890999999</v>
      </c>
    </row>
    <row r="24" spans="1:21" x14ac:dyDescent="0.25">
      <c r="B24" s="13">
        <v>18</v>
      </c>
      <c r="C24" s="3" t="s">
        <v>29</v>
      </c>
      <c r="D24" s="4">
        <v>9124</v>
      </c>
      <c r="E24" s="4">
        <v>538487</v>
      </c>
      <c r="F24" s="5">
        <v>21313</v>
      </c>
      <c r="G24" s="5">
        <v>45257.328139999998</v>
      </c>
      <c r="H24" s="5">
        <v>6339</v>
      </c>
      <c r="I24" s="5">
        <v>21650.726850000003</v>
      </c>
      <c r="J24" s="5">
        <v>13</v>
      </c>
      <c r="K24" s="5">
        <v>34.305699999999995</v>
      </c>
      <c r="L24" s="5">
        <f t="shared" si="0"/>
        <v>27665</v>
      </c>
      <c r="M24" s="5">
        <f t="shared" si="1"/>
        <v>66942.360690000001</v>
      </c>
      <c r="N24" s="5">
        <v>240264</v>
      </c>
      <c r="O24" s="5">
        <v>382569.20723000012</v>
      </c>
      <c r="P24" s="5">
        <v>21049</v>
      </c>
      <c r="Q24" s="5">
        <v>54303.431799999998</v>
      </c>
      <c r="R24" s="5">
        <v>0</v>
      </c>
      <c r="S24" s="5">
        <v>0</v>
      </c>
      <c r="T24" s="30">
        <f t="shared" si="2"/>
        <v>261313</v>
      </c>
      <c r="U24" s="30">
        <f t="shared" si="3"/>
        <v>436872.63903000014</v>
      </c>
    </row>
    <row r="25" spans="1:21" x14ac:dyDescent="0.25">
      <c r="B25" s="13">
        <v>19</v>
      </c>
      <c r="C25" s="3" t="s">
        <v>30</v>
      </c>
      <c r="D25" s="4">
        <v>552275</v>
      </c>
      <c r="E25" s="4">
        <v>13060322</v>
      </c>
      <c r="F25" s="5">
        <v>1184804</v>
      </c>
      <c r="G25" s="5">
        <v>3774226.8149999999</v>
      </c>
      <c r="H25" s="5">
        <v>1125934</v>
      </c>
      <c r="I25" s="5">
        <v>7138659.1534899995</v>
      </c>
      <c r="J25" s="5">
        <v>0</v>
      </c>
      <c r="K25" s="5">
        <v>0</v>
      </c>
      <c r="L25" s="5">
        <f t="shared" si="0"/>
        <v>2310738</v>
      </c>
      <c r="M25" s="5">
        <f t="shared" si="1"/>
        <v>10912885.968489999</v>
      </c>
      <c r="N25" s="5">
        <v>4593631</v>
      </c>
      <c r="O25" s="5">
        <v>8452807.3900000006</v>
      </c>
      <c r="P25" s="5">
        <v>1804335</v>
      </c>
      <c r="Q25" s="5">
        <v>4576268.93</v>
      </c>
      <c r="R25" s="5">
        <v>2566</v>
      </c>
      <c r="S25" s="5">
        <v>32692.946</v>
      </c>
      <c r="T25" s="30">
        <f t="shared" si="2"/>
        <v>6400532</v>
      </c>
      <c r="U25" s="30">
        <f t="shared" si="3"/>
        <v>13061769.266000001</v>
      </c>
    </row>
    <row r="26" spans="1:21" x14ac:dyDescent="0.25">
      <c r="B26" s="13">
        <v>20</v>
      </c>
      <c r="C26" s="3" t="s">
        <v>31</v>
      </c>
      <c r="D26" s="4">
        <v>17535910</v>
      </c>
      <c r="E26" s="4">
        <v>50744860</v>
      </c>
      <c r="F26" s="5">
        <v>33182460</v>
      </c>
      <c r="G26" s="5">
        <v>133390456.85182999</v>
      </c>
      <c r="H26" s="5">
        <v>30105989</v>
      </c>
      <c r="I26" s="5">
        <v>243007781.04469001</v>
      </c>
      <c r="J26" s="5">
        <v>0</v>
      </c>
      <c r="K26" s="5">
        <v>0</v>
      </c>
      <c r="L26" s="5">
        <f t="shared" si="0"/>
        <v>63288449</v>
      </c>
      <c r="M26" s="5">
        <f t="shared" si="1"/>
        <v>376398237.89652002</v>
      </c>
      <c r="N26" s="5">
        <v>19705910</v>
      </c>
      <c r="O26" s="5">
        <v>50432968.575219996</v>
      </c>
      <c r="P26" s="5">
        <v>12994325</v>
      </c>
      <c r="Q26" s="5">
        <v>41955045.644759998</v>
      </c>
      <c r="R26" s="5">
        <v>99009</v>
      </c>
      <c r="S26" s="5">
        <v>1669800.15799</v>
      </c>
      <c r="T26" s="30">
        <f t="shared" si="2"/>
        <v>32799244</v>
      </c>
      <c r="U26" s="30">
        <f t="shared" si="3"/>
        <v>94057814.377969995</v>
      </c>
    </row>
    <row r="27" spans="1:21" x14ac:dyDescent="0.25">
      <c r="B27" s="13">
        <v>21</v>
      </c>
      <c r="C27" s="3" t="s">
        <v>32</v>
      </c>
      <c r="D27" s="4">
        <v>14458594</v>
      </c>
      <c r="E27" s="4">
        <v>32750633</v>
      </c>
      <c r="F27" s="5">
        <v>19530003</v>
      </c>
      <c r="G27" s="5">
        <v>71778570.465869799</v>
      </c>
      <c r="H27" s="5">
        <v>30361286</v>
      </c>
      <c r="I27" s="5">
        <v>167922184.15393052</v>
      </c>
      <c r="J27" s="5">
        <v>49</v>
      </c>
      <c r="K27" s="5">
        <v>2580.1120000000001</v>
      </c>
      <c r="L27" s="5">
        <f t="shared" si="0"/>
        <v>49891338</v>
      </c>
      <c r="M27" s="5">
        <f t="shared" si="1"/>
        <v>239703334.73180032</v>
      </c>
      <c r="N27" s="5">
        <v>12147057</v>
      </c>
      <c r="O27" s="5">
        <v>32372702.498440288</v>
      </c>
      <c r="P27" s="5">
        <v>4916026</v>
      </c>
      <c r="Q27" s="5">
        <v>19952569.899419922</v>
      </c>
      <c r="R27" s="5">
        <v>24659</v>
      </c>
      <c r="S27" s="5">
        <v>253799.3682</v>
      </c>
      <c r="T27" s="30">
        <f t="shared" si="2"/>
        <v>17087742</v>
      </c>
      <c r="U27" s="30">
        <f t="shared" si="3"/>
        <v>52579071.766060211</v>
      </c>
    </row>
    <row r="28" spans="1:21" x14ac:dyDescent="0.25">
      <c r="B28" s="13">
        <v>22</v>
      </c>
      <c r="C28" s="3" t="s">
        <v>33</v>
      </c>
      <c r="D28" s="4">
        <v>43961</v>
      </c>
      <c r="E28" s="4">
        <v>11384081</v>
      </c>
      <c r="F28" s="5">
        <v>70391</v>
      </c>
      <c r="G28" s="5">
        <v>225985.42113</v>
      </c>
      <c r="H28" s="5">
        <v>48841</v>
      </c>
      <c r="I28" s="5">
        <v>176831.95587999999</v>
      </c>
      <c r="J28" s="5">
        <v>0</v>
      </c>
      <c r="K28" s="5">
        <v>0</v>
      </c>
      <c r="L28" s="5">
        <f t="shared" si="0"/>
        <v>119232</v>
      </c>
      <c r="M28" s="5">
        <f t="shared" si="1"/>
        <v>402817.37701</v>
      </c>
      <c r="N28" s="5">
        <v>2092571</v>
      </c>
      <c r="O28" s="5">
        <v>4153348.6129701035</v>
      </c>
      <c r="P28" s="5">
        <v>417706</v>
      </c>
      <c r="Q28" s="5">
        <v>1052105.6641000286</v>
      </c>
      <c r="R28" s="5">
        <v>0</v>
      </c>
      <c r="S28" s="5">
        <v>0</v>
      </c>
      <c r="T28" s="30">
        <f t="shared" si="2"/>
        <v>2510277</v>
      </c>
      <c r="U28" s="30">
        <f t="shared" si="3"/>
        <v>5205454.2770701321</v>
      </c>
    </row>
    <row r="29" spans="1:21" x14ac:dyDescent="0.25">
      <c r="B29" s="13">
        <v>23</v>
      </c>
      <c r="C29" s="3" t="s">
        <v>34</v>
      </c>
      <c r="D29" s="4">
        <v>1543860</v>
      </c>
      <c r="E29" s="4">
        <v>6272188</v>
      </c>
      <c r="F29" s="5">
        <v>2139603</v>
      </c>
      <c r="G29" s="5">
        <v>7388979.06421002</v>
      </c>
      <c r="H29" s="5">
        <v>1824876</v>
      </c>
      <c r="I29" s="5">
        <v>12439649.04057</v>
      </c>
      <c r="J29" s="5">
        <v>0</v>
      </c>
      <c r="K29" s="5">
        <v>0</v>
      </c>
      <c r="L29" s="5">
        <f t="shared" si="0"/>
        <v>3964479</v>
      </c>
      <c r="M29" s="5">
        <f t="shared" si="1"/>
        <v>19828628.104780018</v>
      </c>
      <c r="N29" s="5">
        <v>1039038</v>
      </c>
      <c r="O29" s="5">
        <v>2222141.98544</v>
      </c>
      <c r="P29" s="5">
        <v>370148</v>
      </c>
      <c r="Q29" s="5">
        <v>1863342.26186</v>
      </c>
      <c r="R29" s="5">
        <v>0</v>
      </c>
      <c r="S29" s="5">
        <v>0</v>
      </c>
      <c r="T29" s="30">
        <f t="shared" si="2"/>
        <v>1409186</v>
      </c>
      <c r="U29" s="30">
        <f t="shared" si="3"/>
        <v>4085484.2472999999</v>
      </c>
    </row>
    <row r="30" spans="1:21" x14ac:dyDescent="0.25">
      <c r="B30" s="13">
        <v>24</v>
      </c>
      <c r="C30" s="3" t="s">
        <v>35</v>
      </c>
      <c r="D30" s="4">
        <v>2224570</v>
      </c>
      <c r="E30" s="4">
        <v>8377229</v>
      </c>
      <c r="F30" s="5">
        <v>3654078</v>
      </c>
      <c r="G30" s="5">
        <v>18489664.197999999</v>
      </c>
      <c r="H30" s="5">
        <v>2398232</v>
      </c>
      <c r="I30" s="5">
        <v>50583820.668470003</v>
      </c>
      <c r="J30" s="5">
        <v>0</v>
      </c>
      <c r="K30" s="5">
        <v>0</v>
      </c>
      <c r="L30" s="5">
        <f t="shared" si="0"/>
        <v>6052310</v>
      </c>
      <c r="M30" s="5">
        <f t="shared" si="1"/>
        <v>69073484.866470009</v>
      </c>
      <c r="N30" s="5">
        <v>1316275</v>
      </c>
      <c r="O30" s="5">
        <v>3019614.662</v>
      </c>
      <c r="P30" s="5">
        <v>843183</v>
      </c>
      <c r="Q30" s="5">
        <v>3333226.7680000002</v>
      </c>
      <c r="R30" s="5">
        <v>1028</v>
      </c>
      <c r="S30" s="5">
        <v>74547.557579999993</v>
      </c>
      <c r="T30" s="30">
        <f t="shared" si="2"/>
        <v>2160486</v>
      </c>
      <c r="U30" s="30">
        <f t="shared" si="3"/>
        <v>6427388.9875799995</v>
      </c>
    </row>
    <row r="31" spans="1:21" x14ac:dyDescent="0.25">
      <c r="B31" s="13">
        <v>25</v>
      </c>
      <c r="C31" s="3" t="s">
        <v>36</v>
      </c>
      <c r="D31" s="4">
        <v>77297</v>
      </c>
      <c r="E31" s="4">
        <v>3858936</v>
      </c>
      <c r="F31" s="5">
        <v>176092</v>
      </c>
      <c r="G31" s="5">
        <v>1241981.2800199999</v>
      </c>
      <c r="H31" s="5">
        <v>113144</v>
      </c>
      <c r="I31" s="5">
        <v>354980.826</v>
      </c>
      <c r="J31" s="5">
        <v>0</v>
      </c>
      <c r="K31" s="5">
        <v>0</v>
      </c>
      <c r="L31" s="5">
        <f t="shared" si="0"/>
        <v>289236</v>
      </c>
      <c r="M31" s="5">
        <f t="shared" si="1"/>
        <v>1596962.1060199998</v>
      </c>
      <c r="N31" s="5">
        <v>1775810</v>
      </c>
      <c r="O31" s="5">
        <v>2810527.8960600006</v>
      </c>
      <c r="P31" s="5">
        <v>1943462</v>
      </c>
      <c r="Q31" s="5">
        <v>1056359.2758599999</v>
      </c>
      <c r="R31" s="5">
        <v>0</v>
      </c>
      <c r="S31" s="5">
        <v>0</v>
      </c>
      <c r="T31" s="30">
        <f t="shared" si="2"/>
        <v>3719272</v>
      </c>
      <c r="U31" s="30">
        <f t="shared" si="3"/>
        <v>3866887.1719200006</v>
      </c>
    </row>
    <row r="32" spans="1:21" x14ac:dyDescent="0.25">
      <c r="B32" s="13">
        <v>26</v>
      </c>
      <c r="C32" s="3" t="s">
        <v>37</v>
      </c>
      <c r="D32" s="4">
        <v>0</v>
      </c>
      <c r="E32" s="4">
        <v>5180946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f t="shared" si="0"/>
        <v>0</v>
      </c>
      <c r="M32" s="5">
        <f t="shared" si="1"/>
        <v>0</v>
      </c>
      <c r="N32" s="5">
        <v>1378631</v>
      </c>
      <c r="O32" s="5">
        <v>2358793.3094299999</v>
      </c>
      <c r="P32" s="5">
        <v>193751</v>
      </c>
      <c r="Q32" s="5">
        <v>435343.26660999999</v>
      </c>
      <c r="R32" s="5">
        <v>0</v>
      </c>
      <c r="S32" s="5">
        <v>0</v>
      </c>
      <c r="T32" s="30">
        <f t="shared" si="2"/>
        <v>1572382</v>
      </c>
      <c r="U32" s="30">
        <f t="shared" si="3"/>
        <v>2794136.5760399997</v>
      </c>
    </row>
    <row r="33" spans="1:21" x14ac:dyDescent="0.25">
      <c r="B33" s="13">
        <v>27</v>
      </c>
      <c r="C33" s="3" t="s">
        <v>38</v>
      </c>
      <c r="D33" s="4">
        <v>10423</v>
      </c>
      <c r="E33" s="4">
        <v>4283734</v>
      </c>
      <c r="F33" s="5">
        <v>30849</v>
      </c>
      <c r="G33" s="5">
        <v>204318.28400999864</v>
      </c>
      <c r="H33" s="5">
        <v>9762</v>
      </c>
      <c r="I33" s="5">
        <v>113165.8558</v>
      </c>
      <c r="J33" s="5">
        <v>0</v>
      </c>
      <c r="K33" s="5">
        <v>0</v>
      </c>
      <c r="L33" s="5">
        <f t="shared" si="0"/>
        <v>40611</v>
      </c>
      <c r="M33" s="5">
        <f t="shared" si="1"/>
        <v>317484.13980999863</v>
      </c>
      <c r="N33" s="5">
        <v>1621751</v>
      </c>
      <c r="O33" s="5">
        <v>3538928.9298199969</v>
      </c>
      <c r="P33" s="5">
        <v>287766</v>
      </c>
      <c r="Q33" s="5">
        <v>930491.31929000001</v>
      </c>
      <c r="R33" s="5">
        <v>9484</v>
      </c>
      <c r="S33" s="5">
        <v>219523.07150999995</v>
      </c>
      <c r="T33" s="30">
        <f t="shared" si="2"/>
        <v>1919001</v>
      </c>
      <c r="U33" s="30">
        <f t="shared" si="3"/>
        <v>4688943.3206199966</v>
      </c>
    </row>
    <row r="34" spans="1:21" x14ac:dyDescent="0.25">
      <c r="B34" s="13">
        <v>28</v>
      </c>
      <c r="C34" s="3" t="s">
        <v>39</v>
      </c>
      <c r="D34" s="4">
        <v>4917023</v>
      </c>
      <c r="E34" s="4">
        <v>28291903</v>
      </c>
      <c r="F34" s="5">
        <v>5471059</v>
      </c>
      <c r="G34" s="5">
        <v>20289015.343109999</v>
      </c>
      <c r="H34" s="5">
        <v>4420354</v>
      </c>
      <c r="I34" s="5">
        <v>29896164.56941</v>
      </c>
      <c r="J34" s="5">
        <v>0</v>
      </c>
      <c r="K34" s="5">
        <v>0</v>
      </c>
      <c r="L34" s="5">
        <f t="shared" si="0"/>
        <v>9891413</v>
      </c>
      <c r="M34" s="5">
        <f t="shared" si="1"/>
        <v>50185179.912519999</v>
      </c>
      <c r="N34" s="5">
        <v>4014678</v>
      </c>
      <c r="O34" s="5">
        <v>7546853.3732200004</v>
      </c>
      <c r="P34" s="5">
        <v>2877185</v>
      </c>
      <c r="Q34" s="5">
        <v>7185875.3814400006</v>
      </c>
      <c r="R34" s="5">
        <v>0</v>
      </c>
      <c r="S34" s="5">
        <v>0</v>
      </c>
      <c r="T34" s="30">
        <f t="shared" si="2"/>
        <v>6891863</v>
      </c>
      <c r="U34" s="30">
        <f t="shared" si="3"/>
        <v>14732728.754660001</v>
      </c>
    </row>
    <row r="35" spans="1:21" x14ac:dyDescent="0.25">
      <c r="B35" s="13">
        <v>29</v>
      </c>
      <c r="C35" s="3" t="s">
        <v>40</v>
      </c>
      <c r="D35" s="4">
        <v>0</v>
      </c>
      <c r="E35" s="4">
        <v>206055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f t="shared" si="0"/>
        <v>0</v>
      </c>
      <c r="M35" s="5">
        <f t="shared" si="1"/>
        <v>0</v>
      </c>
      <c r="N35" s="5">
        <v>27455</v>
      </c>
      <c r="O35" s="5">
        <v>50383.94094</v>
      </c>
      <c r="P35" s="5">
        <v>15058</v>
      </c>
      <c r="Q35" s="5">
        <v>34048.214500000002</v>
      </c>
      <c r="R35" s="5">
        <v>0</v>
      </c>
      <c r="S35" s="5">
        <v>0</v>
      </c>
      <c r="T35" s="30">
        <f t="shared" si="2"/>
        <v>42513</v>
      </c>
      <c r="U35" s="30">
        <f t="shared" si="3"/>
        <v>84432.155440000002</v>
      </c>
    </row>
    <row r="36" spans="1:21" x14ac:dyDescent="0.25">
      <c r="B36" s="13">
        <v>30</v>
      </c>
      <c r="C36" s="3" t="s">
        <v>41</v>
      </c>
      <c r="D36" s="4">
        <v>4410550</v>
      </c>
      <c r="E36" s="4">
        <v>1602547</v>
      </c>
      <c r="F36" s="5">
        <v>7212132</v>
      </c>
      <c r="G36" s="5">
        <v>32793322.922029998</v>
      </c>
      <c r="H36" s="5">
        <v>3335758</v>
      </c>
      <c r="I36" s="5">
        <v>27631237.939470001</v>
      </c>
      <c r="J36" s="5">
        <v>0</v>
      </c>
      <c r="K36" s="5">
        <v>0</v>
      </c>
      <c r="L36" s="5">
        <f t="shared" si="0"/>
        <v>10547890</v>
      </c>
      <c r="M36" s="5">
        <f t="shared" si="1"/>
        <v>60424560.861499995</v>
      </c>
      <c r="N36" s="5">
        <v>257829</v>
      </c>
      <c r="O36" s="5">
        <v>565690.44773000013</v>
      </c>
      <c r="P36" s="5">
        <v>117159</v>
      </c>
      <c r="Q36" s="5">
        <v>586848.78492000001</v>
      </c>
      <c r="R36" s="5">
        <v>136</v>
      </c>
      <c r="S36" s="5">
        <v>6114.5943299999999</v>
      </c>
      <c r="T36" s="30">
        <f t="shared" si="2"/>
        <v>375124</v>
      </c>
      <c r="U36" s="30">
        <f t="shared" si="3"/>
        <v>1158653.8269800001</v>
      </c>
    </row>
    <row r="37" spans="1:21" x14ac:dyDescent="0.25">
      <c r="B37" s="13">
        <v>31</v>
      </c>
      <c r="C37" s="3" t="s">
        <v>42</v>
      </c>
      <c r="D37" s="4">
        <v>203295</v>
      </c>
      <c r="E37" s="4">
        <v>3664965</v>
      </c>
      <c r="F37" s="5">
        <v>479453</v>
      </c>
      <c r="G37" s="5">
        <v>1588783.5358800001</v>
      </c>
      <c r="H37" s="5">
        <v>420025</v>
      </c>
      <c r="I37" s="5">
        <v>3121512.071</v>
      </c>
      <c r="J37" s="5">
        <v>0</v>
      </c>
      <c r="K37" s="5">
        <v>0</v>
      </c>
      <c r="L37" s="5">
        <f t="shared" si="0"/>
        <v>899478</v>
      </c>
      <c r="M37" s="5">
        <f t="shared" si="1"/>
        <v>4710295.6068799999</v>
      </c>
      <c r="N37" s="5">
        <v>1593146</v>
      </c>
      <c r="O37" s="5">
        <v>3018625.36779</v>
      </c>
      <c r="P37" s="5">
        <v>269025</v>
      </c>
      <c r="Q37" s="5">
        <v>884664.65029000002</v>
      </c>
      <c r="R37" s="5">
        <v>0</v>
      </c>
      <c r="S37" s="5">
        <v>0</v>
      </c>
      <c r="T37" s="30">
        <f t="shared" si="2"/>
        <v>1862171</v>
      </c>
      <c r="U37" s="30">
        <f t="shared" si="3"/>
        <v>3903290.0180799998</v>
      </c>
    </row>
    <row r="38" spans="1:21" x14ac:dyDescent="0.25">
      <c r="B38" s="13">
        <v>32</v>
      </c>
      <c r="C38" s="3" t="s">
        <v>43</v>
      </c>
      <c r="D38" s="4">
        <v>40895</v>
      </c>
      <c r="E38" s="4">
        <v>2176364</v>
      </c>
      <c r="F38" s="5">
        <v>54379</v>
      </c>
      <c r="G38" s="5">
        <v>257226.47284</v>
      </c>
      <c r="H38" s="5">
        <v>12595</v>
      </c>
      <c r="I38" s="5">
        <v>70091.195670000001</v>
      </c>
      <c r="J38" s="5">
        <v>0</v>
      </c>
      <c r="K38" s="5">
        <v>0</v>
      </c>
      <c r="L38" s="5">
        <f t="shared" si="0"/>
        <v>66974</v>
      </c>
      <c r="M38" s="5">
        <f t="shared" si="1"/>
        <v>327317.66850999999</v>
      </c>
      <c r="N38" s="5">
        <v>431231</v>
      </c>
      <c r="O38" s="5">
        <v>954396.00632000004</v>
      </c>
      <c r="P38" s="5">
        <v>91559</v>
      </c>
      <c r="Q38" s="5">
        <v>209614.66800000001</v>
      </c>
      <c r="R38" s="5">
        <v>100</v>
      </c>
      <c r="S38" s="5">
        <v>261.73500000000001</v>
      </c>
      <c r="T38" s="30">
        <f t="shared" si="2"/>
        <v>522890</v>
      </c>
      <c r="U38" s="30">
        <f t="shared" si="3"/>
        <v>1164272.4093200001</v>
      </c>
    </row>
    <row r="39" spans="1:21" x14ac:dyDescent="0.25">
      <c r="B39" s="13">
        <v>33</v>
      </c>
      <c r="C39" s="3" t="s">
        <v>44</v>
      </c>
      <c r="D39" s="4">
        <v>1419422</v>
      </c>
      <c r="E39" s="4">
        <v>4425818</v>
      </c>
      <c r="F39" s="5">
        <v>2173581</v>
      </c>
      <c r="G39" s="5">
        <v>7847841.2357600005</v>
      </c>
      <c r="H39" s="5">
        <v>972713</v>
      </c>
      <c r="I39" s="5">
        <v>8815274.3647299986</v>
      </c>
      <c r="J39" s="5">
        <v>0</v>
      </c>
      <c r="K39" s="5">
        <v>0</v>
      </c>
      <c r="L39" s="5">
        <f t="shared" si="0"/>
        <v>3146294</v>
      </c>
      <c r="M39" s="5">
        <f t="shared" si="1"/>
        <v>16663115.60049</v>
      </c>
      <c r="N39" s="5">
        <v>1030772</v>
      </c>
      <c r="O39" s="5">
        <v>2182030.6382600004</v>
      </c>
      <c r="P39" s="5">
        <v>431294</v>
      </c>
      <c r="Q39" s="5">
        <v>1456442.1438699998</v>
      </c>
      <c r="R39" s="5">
        <v>14</v>
      </c>
      <c r="S39" s="5">
        <v>209.70699999999999</v>
      </c>
      <c r="T39" s="30">
        <f t="shared" si="2"/>
        <v>1462080</v>
      </c>
      <c r="U39" s="30">
        <f t="shared" si="3"/>
        <v>3638682.4891300001</v>
      </c>
    </row>
    <row r="40" spans="1:21" x14ac:dyDescent="0.25">
      <c r="B40" s="8" t="s">
        <v>45</v>
      </c>
      <c r="C40" s="11"/>
      <c r="D40" s="1"/>
      <c r="E40" s="1"/>
      <c r="F40" s="2"/>
      <c r="G40" s="2"/>
      <c r="H40" s="2"/>
      <c r="I40" s="2"/>
      <c r="J40" s="2"/>
      <c r="K40" s="2"/>
      <c r="L40" s="5"/>
      <c r="M40" s="5"/>
      <c r="N40" s="5"/>
      <c r="O40" s="5"/>
      <c r="P40" s="5"/>
      <c r="Q40" s="5"/>
      <c r="R40" s="5"/>
      <c r="S40" s="5"/>
      <c r="T40" s="30"/>
      <c r="U40" s="30"/>
    </row>
    <row r="41" spans="1:21" x14ac:dyDescent="0.25">
      <c r="B41" s="13">
        <v>34</v>
      </c>
      <c r="C41" s="3" t="s">
        <v>46</v>
      </c>
      <c r="D41" s="4">
        <v>1336775</v>
      </c>
      <c r="E41" s="4">
        <v>0</v>
      </c>
      <c r="F41" s="5">
        <v>1103730</v>
      </c>
      <c r="G41" s="5">
        <v>8163420.8909999998</v>
      </c>
      <c r="H41" s="5">
        <v>3473250</v>
      </c>
      <c r="I41" s="5">
        <v>31190078.965999998</v>
      </c>
      <c r="J41" s="5">
        <v>0</v>
      </c>
      <c r="K41" s="5">
        <v>0</v>
      </c>
      <c r="L41" s="5">
        <f t="shared" si="0"/>
        <v>4576980</v>
      </c>
      <c r="M41" s="5">
        <f t="shared" si="1"/>
        <v>39353499.857000001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30">
        <f t="shared" si="2"/>
        <v>0</v>
      </c>
      <c r="U41" s="30">
        <f t="shared" si="3"/>
        <v>0</v>
      </c>
    </row>
    <row r="42" spans="1:21" x14ac:dyDescent="0.25">
      <c r="B42" s="13">
        <v>35</v>
      </c>
      <c r="C42" s="3" t="s">
        <v>47</v>
      </c>
      <c r="D42" s="4">
        <v>0</v>
      </c>
      <c r="E42" s="4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f t="shared" si="0"/>
        <v>0</v>
      </c>
      <c r="M42" s="5">
        <f t="shared" si="1"/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30">
        <f t="shared" si="2"/>
        <v>0</v>
      </c>
      <c r="U42" s="30">
        <f t="shared" si="3"/>
        <v>0</v>
      </c>
    </row>
    <row r="43" spans="1:21" x14ac:dyDescent="0.25">
      <c r="B43" s="13">
        <v>36</v>
      </c>
      <c r="C43" s="3" t="s">
        <v>48</v>
      </c>
      <c r="D43" s="4">
        <v>0</v>
      </c>
      <c r="E43" s="4">
        <v>908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f t="shared" si="0"/>
        <v>0</v>
      </c>
      <c r="M43" s="5">
        <f t="shared" si="1"/>
        <v>0</v>
      </c>
      <c r="N43" s="5">
        <v>24</v>
      </c>
      <c r="O43" s="5">
        <v>42.191859999999998</v>
      </c>
      <c r="P43" s="5">
        <v>5</v>
      </c>
      <c r="Q43" s="5">
        <v>8.2832399999999993</v>
      </c>
      <c r="R43" s="5">
        <v>0</v>
      </c>
      <c r="S43" s="5">
        <v>0</v>
      </c>
      <c r="T43" s="30">
        <f t="shared" si="2"/>
        <v>29</v>
      </c>
      <c r="U43" s="30">
        <f t="shared" si="3"/>
        <v>50.475099999999998</v>
      </c>
    </row>
    <row r="44" spans="1:21" x14ac:dyDescent="0.25">
      <c r="B44" s="13">
        <v>37</v>
      </c>
      <c r="C44" s="3" t="s">
        <v>49</v>
      </c>
      <c r="D44" s="4">
        <v>162478</v>
      </c>
      <c r="E44" s="4">
        <v>0</v>
      </c>
      <c r="F44" s="5">
        <v>128899</v>
      </c>
      <c r="G44" s="5">
        <v>748452.95544999454</v>
      </c>
      <c r="H44" s="5">
        <v>188982</v>
      </c>
      <c r="I44" s="5">
        <v>2837631.2901200149</v>
      </c>
      <c r="J44" s="5">
        <v>0</v>
      </c>
      <c r="K44" s="5">
        <v>0</v>
      </c>
      <c r="L44" s="5">
        <f t="shared" si="0"/>
        <v>317881</v>
      </c>
      <c r="M44" s="5">
        <f t="shared" si="1"/>
        <v>3586084.2455700096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30">
        <f t="shared" si="2"/>
        <v>0</v>
      </c>
      <c r="U44" s="30">
        <f t="shared" si="3"/>
        <v>0</v>
      </c>
    </row>
    <row r="45" spans="1:21" x14ac:dyDescent="0.25">
      <c r="B45" s="13">
        <v>38</v>
      </c>
      <c r="C45" s="3" t="s">
        <v>50</v>
      </c>
      <c r="D45" s="4">
        <v>222375</v>
      </c>
      <c r="E45" s="4">
        <v>1871842</v>
      </c>
      <c r="F45" s="5">
        <v>233443</v>
      </c>
      <c r="G45" s="5">
        <v>932583.63796973333</v>
      </c>
      <c r="H45" s="5">
        <v>145720</v>
      </c>
      <c r="I45" s="5">
        <v>1327143.3195200143</v>
      </c>
      <c r="J45" s="5">
        <v>0</v>
      </c>
      <c r="K45" s="5">
        <v>0</v>
      </c>
      <c r="L45" s="5">
        <f t="shared" si="0"/>
        <v>379163</v>
      </c>
      <c r="M45" s="5">
        <f t="shared" si="1"/>
        <v>2259726.9574897476</v>
      </c>
      <c r="N45" s="5">
        <v>446774</v>
      </c>
      <c r="O45" s="5">
        <v>771318.87424000003</v>
      </c>
      <c r="P45" s="5">
        <v>137350</v>
      </c>
      <c r="Q45" s="5">
        <v>341265.58298000006</v>
      </c>
      <c r="R45" s="5">
        <v>0</v>
      </c>
      <c r="S45" s="5">
        <v>0</v>
      </c>
      <c r="T45" s="30">
        <f t="shared" si="2"/>
        <v>584124</v>
      </c>
      <c r="U45" s="30">
        <f t="shared" si="3"/>
        <v>1112584.4572200002</v>
      </c>
    </row>
    <row r="46" spans="1:21" x14ac:dyDescent="0.25">
      <c r="B46" s="13">
        <v>39</v>
      </c>
      <c r="C46" s="3" t="s">
        <v>51</v>
      </c>
      <c r="D46" s="4">
        <v>0</v>
      </c>
      <c r="E46" s="4">
        <v>115898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f t="shared" si="0"/>
        <v>0</v>
      </c>
      <c r="M46" s="5">
        <f t="shared" si="1"/>
        <v>0</v>
      </c>
      <c r="N46" s="5">
        <v>45988</v>
      </c>
      <c r="O46" s="5">
        <v>126085.19720999972</v>
      </c>
      <c r="P46" s="5">
        <v>22225</v>
      </c>
      <c r="Q46" s="5">
        <v>73251.669539999551</v>
      </c>
      <c r="R46" s="5">
        <v>0</v>
      </c>
      <c r="S46" s="5">
        <v>0</v>
      </c>
      <c r="T46" s="30">
        <f t="shared" si="2"/>
        <v>68213</v>
      </c>
      <c r="U46" s="30">
        <f t="shared" si="3"/>
        <v>199336.86674999929</v>
      </c>
    </row>
    <row r="47" spans="1:21" x14ac:dyDescent="0.25">
      <c r="B47" s="13">
        <v>40</v>
      </c>
      <c r="C47" s="3" t="s">
        <v>52</v>
      </c>
      <c r="D47" s="4">
        <v>699170</v>
      </c>
      <c r="E47" s="4">
        <v>582108</v>
      </c>
      <c r="F47" s="5">
        <v>734477</v>
      </c>
      <c r="G47" s="5">
        <v>2502329.6648795661</v>
      </c>
      <c r="H47" s="5">
        <v>1065152</v>
      </c>
      <c r="I47" s="5">
        <v>5220534.3407903491</v>
      </c>
      <c r="J47" s="5">
        <v>0</v>
      </c>
      <c r="K47" s="5">
        <v>0</v>
      </c>
      <c r="L47" s="5">
        <f t="shared" si="0"/>
        <v>1799629</v>
      </c>
      <c r="M47" s="5">
        <f t="shared" si="1"/>
        <v>7722864.0056699151</v>
      </c>
      <c r="N47" s="5">
        <v>313749</v>
      </c>
      <c r="O47" s="5">
        <v>1033024.5188499945</v>
      </c>
      <c r="P47" s="5">
        <v>0</v>
      </c>
      <c r="Q47" s="5">
        <v>0</v>
      </c>
      <c r="R47" s="5">
        <v>0</v>
      </c>
      <c r="S47" s="5">
        <v>0</v>
      </c>
      <c r="T47" s="30">
        <f t="shared" si="2"/>
        <v>313749</v>
      </c>
      <c r="U47" s="30">
        <f t="shared" si="3"/>
        <v>1033024.5188499945</v>
      </c>
    </row>
    <row r="48" spans="1:21" x14ac:dyDescent="0.25">
      <c r="A48" s="9" t="s">
        <v>53</v>
      </c>
      <c r="B48" s="13">
        <v>41</v>
      </c>
      <c r="C48" s="3" t="s">
        <v>54</v>
      </c>
      <c r="D48" s="4">
        <v>1072764</v>
      </c>
      <c r="E48" s="4">
        <v>602345</v>
      </c>
      <c r="F48" s="5">
        <v>536442</v>
      </c>
      <c r="G48" s="5">
        <v>2063773.0297899924</v>
      </c>
      <c r="H48" s="5">
        <v>1207156</v>
      </c>
      <c r="I48" s="5">
        <v>4230351.017289985</v>
      </c>
      <c r="J48" s="5">
        <v>0</v>
      </c>
      <c r="K48" s="5">
        <v>0</v>
      </c>
      <c r="L48" s="5">
        <f t="shared" si="0"/>
        <v>1743598</v>
      </c>
      <c r="M48" s="5">
        <f t="shared" si="1"/>
        <v>6294124.0470799776</v>
      </c>
      <c r="N48" s="5">
        <v>34389</v>
      </c>
      <c r="O48" s="5">
        <v>56895.23633</v>
      </c>
      <c r="P48" s="5">
        <v>25428</v>
      </c>
      <c r="Q48" s="5">
        <v>73972.985970000009</v>
      </c>
      <c r="R48" s="5">
        <v>0</v>
      </c>
      <c r="S48" s="5">
        <v>0</v>
      </c>
      <c r="T48" s="30">
        <f t="shared" si="2"/>
        <v>59817</v>
      </c>
      <c r="U48" s="30">
        <f t="shared" si="3"/>
        <v>130868.22230000001</v>
      </c>
    </row>
    <row r="49" spans="1:21" x14ac:dyDescent="0.25">
      <c r="B49" s="13">
        <v>42</v>
      </c>
      <c r="C49" s="11" t="s">
        <v>55</v>
      </c>
      <c r="D49" s="4">
        <v>1061075</v>
      </c>
      <c r="E49" s="4">
        <v>1137359</v>
      </c>
      <c r="F49" s="5">
        <v>1442980</v>
      </c>
      <c r="G49" s="5">
        <v>4625803.8355798321</v>
      </c>
      <c r="H49" s="5">
        <v>1412938</v>
      </c>
      <c r="I49" s="5">
        <v>7431878.5237393994</v>
      </c>
      <c r="J49" s="5">
        <v>0</v>
      </c>
      <c r="K49" s="5">
        <v>0</v>
      </c>
      <c r="L49" s="5">
        <f t="shared" si="0"/>
        <v>2855918</v>
      </c>
      <c r="M49" s="5">
        <f t="shared" si="1"/>
        <v>12057682.359319232</v>
      </c>
      <c r="N49" s="5">
        <v>889083</v>
      </c>
      <c r="O49" s="5">
        <v>1958930.7760699978</v>
      </c>
      <c r="P49" s="5">
        <v>118234</v>
      </c>
      <c r="Q49" s="5">
        <v>644616.03979999968</v>
      </c>
      <c r="R49" s="5">
        <v>51</v>
      </c>
      <c r="S49" s="5">
        <v>831.41600000000005</v>
      </c>
      <c r="T49" s="30">
        <f t="shared" si="2"/>
        <v>1007368</v>
      </c>
      <c r="U49" s="30">
        <f t="shared" si="3"/>
        <v>2604378.2318699975</v>
      </c>
    </row>
    <row r="50" spans="1:21" x14ac:dyDescent="0.25">
      <c r="B50" s="13">
        <v>43</v>
      </c>
      <c r="C50" s="11" t="s">
        <v>56</v>
      </c>
      <c r="D50" s="4">
        <v>0</v>
      </c>
      <c r="E50" s="4">
        <v>977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f t="shared" si="0"/>
        <v>0</v>
      </c>
      <c r="M50" s="5">
        <f t="shared" si="1"/>
        <v>0</v>
      </c>
      <c r="N50" s="5">
        <v>4255</v>
      </c>
      <c r="O50" s="5">
        <v>12589.585730000001</v>
      </c>
      <c r="P50" s="5">
        <v>1451</v>
      </c>
      <c r="Q50" s="5">
        <v>4741.84004</v>
      </c>
      <c r="R50" s="5">
        <v>0</v>
      </c>
      <c r="S50" s="5">
        <v>0</v>
      </c>
      <c r="T50" s="30">
        <f t="shared" si="2"/>
        <v>5706</v>
      </c>
      <c r="U50" s="30">
        <f t="shared" si="3"/>
        <v>17331.425770000002</v>
      </c>
    </row>
    <row r="51" spans="1:21" s="24" customFormat="1" x14ac:dyDescent="0.25">
      <c r="A51" s="25"/>
      <c r="B51" s="26" t="s">
        <v>57</v>
      </c>
      <c r="C51" s="27"/>
      <c r="D51" s="28">
        <f t="shared" ref="D51:K51" si="4">SUM(D6:D50)</f>
        <v>84798695</v>
      </c>
      <c r="E51" s="28">
        <f t="shared" si="4"/>
        <v>872970926</v>
      </c>
      <c r="F51" s="28">
        <f t="shared" si="4"/>
        <v>139762030</v>
      </c>
      <c r="G51" s="28">
        <f t="shared" si="4"/>
        <v>504909368.73184884</v>
      </c>
      <c r="H51" s="28">
        <f t="shared" si="4"/>
        <v>122094719</v>
      </c>
      <c r="I51" s="28">
        <f t="shared" si="4"/>
        <v>857894239.24971044</v>
      </c>
      <c r="J51" s="28">
        <f t="shared" si="4"/>
        <v>62</v>
      </c>
      <c r="K51" s="28">
        <f t="shared" si="4"/>
        <v>2614.4177</v>
      </c>
      <c r="L51" s="29">
        <f t="shared" si="0"/>
        <v>261856811</v>
      </c>
      <c r="M51" s="29">
        <f t="shared" si="1"/>
        <v>1362806222.3992593</v>
      </c>
      <c r="N51" s="28">
        <f t="shared" ref="N51:S51" si="5">SUM(N6:N50)</f>
        <v>163334112</v>
      </c>
      <c r="O51" s="28">
        <f t="shared" si="5"/>
        <v>348991648.21493036</v>
      </c>
      <c r="P51" s="28">
        <f t="shared" si="5"/>
        <v>70162782</v>
      </c>
      <c r="Q51" s="28">
        <f t="shared" si="5"/>
        <v>177676633.57620999</v>
      </c>
      <c r="R51" s="28">
        <f t="shared" si="5"/>
        <v>178222</v>
      </c>
      <c r="S51" s="28">
        <f t="shared" si="5"/>
        <v>3030437.2562600002</v>
      </c>
      <c r="T51" s="31">
        <f t="shared" si="2"/>
        <v>233675116</v>
      </c>
      <c r="U51" s="31">
        <f t="shared" si="3"/>
        <v>529698719.04740036</v>
      </c>
    </row>
    <row r="52" spans="1:21" s="17" customFormat="1" x14ac:dyDescent="0.25">
      <c r="A52" s="16"/>
      <c r="B52" s="8"/>
      <c r="C52" s="11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</row>
  </sheetData>
  <mergeCells count="18">
    <mergeCell ref="D52:S52"/>
    <mergeCell ref="B1:B4"/>
    <mergeCell ref="C1:C4"/>
    <mergeCell ref="D1:E1"/>
    <mergeCell ref="F3:G3"/>
    <mergeCell ref="H3:I3"/>
    <mergeCell ref="J3:K3"/>
    <mergeCell ref="D2:D4"/>
    <mergeCell ref="E2:E4"/>
    <mergeCell ref="L3:M3"/>
    <mergeCell ref="N3:O3"/>
    <mergeCell ref="P3:Q3"/>
    <mergeCell ref="F1:M1"/>
    <mergeCell ref="F2:M2"/>
    <mergeCell ref="N1:U1"/>
    <mergeCell ref="N2:U2"/>
    <mergeCell ref="T3:U3"/>
    <mergeCell ref="R3:S3"/>
  </mergeCells>
  <pageMargins left="3.937007874015748E-2" right="0" top="0.15748031496062992" bottom="3.937007874015748E-2" header="7.874015748031496E-2" footer="0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March-2023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Manas</cp:lastModifiedBy>
  <cp:lastPrinted>2023-05-18T14:54:25Z</cp:lastPrinted>
  <dcterms:created xsi:type="dcterms:W3CDTF">2023-04-12T09:35:51Z</dcterms:created>
  <dcterms:modified xsi:type="dcterms:W3CDTF">2023-07-18T15:33:03Z</dcterms:modified>
</cp:coreProperties>
</file>