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67A81797-6721-454E-9610-2442E247B6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y 2022 Revis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1" l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U7" i="1"/>
  <c r="T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M7" i="1"/>
  <c r="L7" i="1"/>
  <c r="S50" i="1"/>
  <c r="R50" i="1"/>
  <c r="T50" i="1" s="1"/>
  <c r="Q50" i="1"/>
  <c r="P50" i="1"/>
  <c r="O50" i="1"/>
  <c r="N50" i="1"/>
  <c r="K50" i="1"/>
  <c r="J50" i="1"/>
  <c r="L50" i="1" s="1"/>
  <c r="I50" i="1"/>
  <c r="H50" i="1"/>
  <c r="G50" i="1"/>
  <c r="F50" i="1"/>
  <c r="E50" i="1"/>
  <c r="D50" i="1"/>
  <c r="M50" i="1" l="1"/>
  <c r="U50" i="1"/>
</calcChain>
</file>

<file path=xl/sharedStrings.xml><?xml version="1.0" encoding="utf-8"?>
<sst xmlns="http://schemas.openxmlformats.org/spreadsheetml/2006/main" count="76" uniqueCount="56">
  <si>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</si>
  <si>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</si>
  <si>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</si>
  <si>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</si>
  <si>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</si>
  <si>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</si>
  <si>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</si>
  <si>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</si>
  <si>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</si>
  <si>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</si>
  <si>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</si>
  <si>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</si>
  <si>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</si>
  <si>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</si>
  <si>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</si>
  <si>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</si>
  <si>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</si>
  <si>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</si>
  <si>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</si>
  <si>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</si>
  <si>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</si>
  <si>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</si>
  <si>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</si>
  <si>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</si>
  <si>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</si>
  <si>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</si>
  <si>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CATHOLIC SYRIAN BANK LTD</t>
  </si>
  <si>
    <t>CITY UNION BANK</t>
  </si>
  <si>
    <t>DCB BANK LTD</t>
  </si>
  <si>
    <t>DHANALAKSHMI BANK LTD</t>
  </si>
  <si>
    <t>FEDERAL BANK LTD</t>
  </si>
  <si>
    <t>HDFC BANK LTD</t>
  </si>
  <si>
    <t>ICICI BANK LTD</t>
  </si>
  <si>
    <t>IDBI LTD</t>
  </si>
  <si>
    <t>IDFC Bank Limited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</si>
  <si>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</si>
  <si>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</si>
  <si>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</si>
  <si>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</si>
  <si>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</si>
  <si>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</si>
  <si>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</si>
  <si>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</si>
  <si>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YES BANK LTD</t>
  </si>
  <si>
    <t>Foreign Banks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</si>
  <si>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</si>
  <si>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</si>
  <si>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</si>
  <si>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</si>
  <si>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</si>
  <si>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</si>
  <si>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</si>
  <si>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 xml:space="preserve"> </t>
  </si>
  <si>
    <t>SBM Bank India</t>
  </si>
  <si>
    <t>STANDARD CHARTERED BANK LTD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</si>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</sst>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9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6" fillId="2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1" fontId="7" fillId="2" borderId="1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/>
    </xf>
    <xf numFmtId="1" fontId="5" fillId="2" borderId="1" xfId="0" applyNumberFormat="1" applyFont="1" applyFill="1" applyBorder="1" applyAlignment="1">
      <alignment horizontal="right"/>
    </xf>
    <xf numFmtId="0" fontId="5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1" fontId="5" fillId="2" borderId="1" xfId="0" applyNumberFormat="1" applyFont="1" applyFill="1" applyBorder="1"/>
    <xf numFmtId="1" fontId="2" fillId="2" borderId="0" xfId="0" applyNumberFormat="1" applyFont="1" applyFill="1"/>
    <xf numFmtId="1" fontId="5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0"/>
  <sheetViews>
    <sheetView tabSelected="1" zoomScale="85" zoomScaleNormal="85" workbookViewId="0">
      <selection activeCell="A2" sqref="A2:XFD2"/>
    </sheetView>
  </sheetViews>
  <sheetFormatPr defaultColWidth="9.109375" defaultRowHeight="13.2" x14ac:dyDescent="0.25"/>
  <cols>
    <col min="1" max="1" width="5.6640625" style="1" customWidth="1"/>
    <col min="2" max="2" width="5.33203125" style="2" customWidth="1"/>
    <col min="3" max="3" width="43" style="2" customWidth="1"/>
    <col min="4" max="4" width="9.33203125" style="2" customWidth="1"/>
    <col min="5" max="5" width="10.6640625" style="2" customWidth="1"/>
    <col min="6" max="9" width="10" style="2" bestFit="1" customWidth="1"/>
    <col min="10" max="10" width="8.109375" style="2" customWidth="1"/>
    <col min="11" max="11" width="8.44140625" style="2" customWidth="1"/>
    <col min="12" max="12" width="13.33203125" style="2" customWidth="1"/>
    <col min="13" max="13" width="11.6640625" style="2" customWidth="1"/>
    <col min="14" max="17" width="10" style="2" bestFit="1" customWidth="1"/>
    <col min="18" max="18" width="8.88671875" style="2" customWidth="1"/>
    <col min="19" max="19" width="8.6640625" style="2" customWidth="1"/>
    <col min="20" max="20" width="12.33203125" style="2" customWidth="1"/>
    <col min="21" max="21" width="12.21875" style="2" customWidth="1"/>
    <col min="22" max="16384" width="9.109375" style="2"/>
  </cols>
  <sheetData>
    <row r="2" spans="1:21" x14ac:dyDescent="0.25">
      <c r="B2" s="17"/>
      <c r="C2" s="18"/>
      <c r="D2" s="17"/>
      <c r="E2" s="17"/>
      <c r="F2" s="19" t="s">
        <v>0</v>
      </c>
      <c r="G2" s="20"/>
      <c r="H2" s="20"/>
      <c r="I2" s="20"/>
      <c r="J2" s="20"/>
      <c r="K2" s="20"/>
      <c r="L2" s="20"/>
      <c r="M2" s="21"/>
      <c r="N2" s="22" t="s">
        <v>1</v>
      </c>
      <c r="O2" s="23"/>
      <c r="P2" s="23"/>
      <c r="Q2" s="23"/>
      <c r="R2" s="23"/>
      <c r="S2" s="23"/>
      <c r="T2" s="23"/>
      <c r="U2" s="23"/>
    </row>
    <row r="3" spans="1:21" x14ac:dyDescent="0.25">
      <c r="B3" s="17"/>
      <c r="C3" s="18"/>
      <c r="D3" s="17" t="s">
        <v>2</v>
      </c>
      <c r="E3" s="17" t="s">
        <v>3</v>
      </c>
      <c r="F3" s="19" t="s">
        <v>4</v>
      </c>
      <c r="G3" s="20"/>
      <c r="H3" s="20"/>
      <c r="I3" s="20"/>
      <c r="J3" s="20"/>
      <c r="K3" s="20"/>
      <c r="L3" s="20"/>
      <c r="M3" s="21"/>
      <c r="N3" s="24" t="s">
        <v>4</v>
      </c>
      <c r="O3" s="25"/>
      <c r="P3" s="25"/>
      <c r="Q3" s="25"/>
      <c r="R3" s="25"/>
      <c r="S3" s="25"/>
      <c r="T3" s="25"/>
      <c r="U3" s="25"/>
    </row>
    <row r="4" spans="1:21" x14ac:dyDescent="0.25">
      <c r="B4" s="17"/>
      <c r="C4" s="18"/>
      <c r="D4" s="17"/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9" t="s">
        <v>55</v>
      </c>
      <c r="M4" s="21"/>
      <c r="N4" s="17" t="s">
        <v>5</v>
      </c>
      <c r="O4" s="17"/>
      <c r="P4" s="17" t="s">
        <v>6</v>
      </c>
      <c r="Q4" s="17"/>
      <c r="R4" s="18" t="s">
        <v>7</v>
      </c>
      <c r="S4" s="18"/>
      <c r="T4" s="19" t="s">
        <v>55</v>
      </c>
      <c r="U4" s="21"/>
    </row>
    <row r="5" spans="1:21" s="5" customFormat="1" ht="45.75" customHeight="1" x14ac:dyDescent="0.3">
      <c r="A5" s="3"/>
      <c r="B5" s="17"/>
      <c r="C5" s="18"/>
      <c r="D5" s="17"/>
      <c r="E5" s="17"/>
      <c r="F5" s="4" t="s">
        <v>8</v>
      </c>
      <c r="G5" s="4" t="s">
        <v>9</v>
      </c>
      <c r="H5" s="4" t="s">
        <v>8</v>
      </c>
      <c r="I5" s="4" t="s">
        <v>9</v>
      </c>
      <c r="J5" s="4" t="s">
        <v>8</v>
      </c>
      <c r="K5" s="4" t="s">
        <v>9</v>
      </c>
      <c r="L5" s="4" t="s">
        <v>8</v>
      </c>
      <c r="M5" s="4" t="s">
        <v>9</v>
      </c>
      <c r="N5" s="4" t="s">
        <v>8</v>
      </c>
      <c r="O5" s="4" t="s">
        <v>9</v>
      </c>
      <c r="P5" s="4" t="s">
        <v>8</v>
      </c>
      <c r="Q5" s="4" t="s">
        <v>9</v>
      </c>
      <c r="R5" s="4" t="s">
        <v>8</v>
      </c>
      <c r="S5" s="4" t="s">
        <v>9</v>
      </c>
      <c r="T5" s="4" t="s">
        <v>8</v>
      </c>
      <c r="U5" s="4" t="s">
        <v>9</v>
      </c>
    </row>
    <row r="6" spans="1:21" x14ac:dyDescent="0.25">
      <c r="B6" s="6" t="s">
        <v>10</v>
      </c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21" x14ac:dyDescent="0.25">
      <c r="B7" s="8">
        <v>1</v>
      </c>
      <c r="C7" s="9" t="s">
        <v>11</v>
      </c>
      <c r="D7" s="10">
        <v>1267896</v>
      </c>
      <c r="E7" s="10">
        <v>75630687</v>
      </c>
      <c r="F7" s="10">
        <v>1530161</v>
      </c>
      <c r="G7" s="10">
        <v>4796898.4060000004</v>
      </c>
      <c r="H7" s="10">
        <v>1424440</v>
      </c>
      <c r="I7" s="10">
        <v>6074427.8899999997</v>
      </c>
      <c r="J7" s="10">
        <v>0</v>
      </c>
      <c r="K7" s="10">
        <v>0</v>
      </c>
      <c r="L7" s="10">
        <f>J7+H7+F7</f>
        <v>2954601</v>
      </c>
      <c r="M7" s="10">
        <f>K7+I7+G7</f>
        <v>10871326.296</v>
      </c>
      <c r="N7" s="10">
        <v>8566629</v>
      </c>
      <c r="O7" s="10">
        <v>16273071.771</v>
      </c>
      <c r="P7" s="10">
        <v>4301660</v>
      </c>
      <c r="Q7" s="10">
        <v>6802295.1720000003</v>
      </c>
      <c r="R7" s="10">
        <v>3</v>
      </c>
      <c r="S7" s="10">
        <v>6.15</v>
      </c>
      <c r="T7" s="27">
        <f>R7+P7+N7</f>
        <v>12868292</v>
      </c>
      <c r="U7" s="27">
        <f>S7+Q7+O7</f>
        <v>23075373.093000002</v>
      </c>
    </row>
    <row r="8" spans="1:21" x14ac:dyDescent="0.25">
      <c r="B8" s="8">
        <v>2</v>
      </c>
      <c r="C8" s="9" t="s">
        <v>12</v>
      </c>
      <c r="D8" s="10">
        <v>165929</v>
      </c>
      <c r="E8" s="10">
        <v>45256890</v>
      </c>
      <c r="F8" s="10">
        <v>158107</v>
      </c>
      <c r="G8" s="10">
        <v>527624.82836000004</v>
      </c>
      <c r="H8" s="10">
        <v>119527</v>
      </c>
      <c r="I8" s="10">
        <v>321610.19631000003</v>
      </c>
      <c r="J8" s="10">
        <v>0</v>
      </c>
      <c r="K8" s="10">
        <v>0</v>
      </c>
      <c r="L8" s="10">
        <f t="shared" ref="L8:L50" si="0">J8+H8+F8</f>
        <v>277634</v>
      </c>
      <c r="M8" s="10">
        <f t="shared" ref="M8:M50" si="1">K8+I8+G8</f>
        <v>849235.02467000007</v>
      </c>
      <c r="N8" s="10">
        <v>5052581</v>
      </c>
      <c r="O8" s="10">
        <v>9012725.9852499999</v>
      </c>
      <c r="P8" s="10">
        <v>3039827</v>
      </c>
      <c r="Q8" s="10">
        <v>3685935.33158</v>
      </c>
      <c r="R8" s="10">
        <v>0</v>
      </c>
      <c r="S8" s="10">
        <v>0</v>
      </c>
      <c r="T8" s="27">
        <f t="shared" ref="T8:T50" si="2">R8+P8+N8</f>
        <v>8092408</v>
      </c>
      <c r="U8" s="27">
        <f t="shared" ref="U8:U50" si="3">S8+Q8+O8</f>
        <v>12698661.31683</v>
      </c>
    </row>
    <row r="9" spans="1:21" x14ac:dyDescent="0.25">
      <c r="B9" s="8">
        <v>3</v>
      </c>
      <c r="C9" s="11" t="s">
        <v>13</v>
      </c>
      <c r="D9" s="10">
        <v>77291</v>
      </c>
      <c r="E9" s="10">
        <v>12523886</v>
      </c>
      <c r="F9" s="10">
        <v>91537</v>
      </c>
      <c r="G9" s="10">
        <v>377379.408</v>
      </c>
      <c r="H9" s="10">
        <v>0</v>
      </c>
      <c r="I9" s="10">
        <v>0</v>
      </c>
      <c r="J9" s="10">
        <v>0</v>
      </c>
      <c r="K9" s="10">
        <v>0</v>
      </c>
      <c r="L9" s="10">
        <f t="shared" si="0"/>
        <v>91537</v>
      </c>
      <c r="M9" s="10">
        <f t="shared" si="1"/>
        <v>377379.408</v>
      </c>
      <c r="N9" s="10">
        <v>2754302</v>
      </c>
      <c r="O9" s="10">
        <v>4330669.8049999997</v>
      </c>
      <c r="P9" s="10">
        <v>1116639</v>
      </c>
      <c r="Q9" s="10">
        <v>1448273.7069999999</v>
      </c>
      <c r="R9" s="10">
        <v>9747</v>
      </c>
      <c r="S9" s="10">
        <v>113943.8042</v>
      </c>
      <c r="T9" s="27">
        <f t="shared" si="2"/>
        <v>3880688</v>
      </c>
      <c r="U9" s="27">
        <f t="shared" si="3"/>
        <v>5892887.3161999993</v>
      </c>
    </row>
    <row r="10" spans="1:21" x14ac:dyDescent="0.25">
      <c r="B10" s="8">
        <v>4</v>
      </c>
      <c r="C10" s="9" t="s">
        <v>14</v>
      </c>
      <c r="D10" s="10">
        <v>915470</v>
      </c>
      <c r="E10" s="10">
        <v>46959288</v>
      </c>
      <c r="F10" s="10">
        <v>655999</v>
      </c>
      <c r="G10" s="10">
        <v>1744639.2305499997</v>
      </c>
      <c r="H10" s="10">
        <v>300098</v>
      </c>
      <c r="I10" s="10">
        <v>977784.69517999992</v>
      </c>
      <c r="J10" s="10">
        <v>0</v>
      </c>
      <c r="K10" s="10">
        <v>0</v>
      </c>
      <c r="L10" s="10">
        <f t="shared" si="0"/>
        <v>956097</v>
      </c>
      <c r="M10" s="10">
        <f t="shared" si="1"/>
        <v>2722423.9257299998</v>
      </c>
      <c r="N10" s="10">
        <v>10225689</v>
      </c>
      <c r="O10" s="10">
        <v>20691394.040689997</v>
      </c>
      <c r="P10" s="10">
        <v>4273410</v>
      </c>
      <c r="Q10" s="10">
        <v>6895824.7182700001</v>
      </c>
      <c r="R10" s="10">
        <v>4277</v>
      </c>
      <c r="S10" s="10">
        <v>70393.826000000001</v>
      </c>
      <c r="T10" s="27">
        <f t="shared" si="2"/>
        <v>14503376</v>
      </c>
      <c r="U10" s="27">
        <f t="shared" si="3"/>
        <v>27657612.584959999</v>
      </c>
    </row>
    <row r="11" spans="1:21" x14ac:dyDescent="0.25">
      <c r="B11" s="8">
        <v>5</v>
      </c>
      <c r="C11" s="9" t="s">
        <v>15</v>
      </c>
      <c r="D11" s="10">
        <v>0</v>
      </c>
      <c r="E11" s="10">
        <v>28963920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f t="shared" si="0"/>
        <v>0</v>
      </c>
      <c r="M11" s="10">
        <f t="shared" si="1"/>
        <v>0</v>
      </c>
      <c r="N11" s="10">
        <v>2792070</v>
      </c>
      <c r="O11" s="10">
        <v>5851095.7170000002</v>
      </c>
      <c r="P11" s="10">
        <v>757379</v>
      </c>
      <c r="Q11" s="10">
        <v>1199880.621</v>
      </c>
      <c r="R11" s="10">
        <v>0</v>
      </c>
      <c r="S11" s="10">
        <v>0</v>
      </c>
      <c r="T11" s="27">
        <f t="shared" si="2"/>
        <v>3549449</v>
      </c>
      <c r="U11" s="27">
        <f t="shared" si="3"/>
        <v>7050976.3380000005</v>
      </c>
    </row>
    <row r="12" spans="1:21" x14ac:dyDescent="0.25">
      <c r="B12" s="8">
        <v>6</v>
      </c>
      <c r="C12" s="9" t="s">
        <v>16</v>
      </c>
      <c r="D12" s="10">
        <v>155411</v>
      </c>
      <c r="E12" s="10">
        <v>27241274</v>
      </c>
      <c r="F12" s="10">
        <v>136127</v>
      </c>
      <c r="G12" s="10">
        <v>423592.75855000003</v>
      </c>
      <c r="H12" s="10">
        <v>71747</v>
      </c>
      <c r="I12" s="10">
        <v>288739.53700000001</v>
      </c>
      <c r="J12" s="10">
        <v>0</v>
      </c>
      <c r="K12" s="10">
        <v>0</v>
      </c>
      <c r="L12" s="10">
        <f t="shared" si="0"/>
        <v>207874</v>
      </c>
      <c r="M12" s="10">
        <f t="shared" si="1"/>
        <v>712332.29555000004</v>
      </c>
      <c r="N12" s="10">
        <v>6306320</v>
      </c>
      <c r="O12" s="10">
        <v>11831397.73339</v>
      </c>
      <c r="P12" s="10">
        <v>2856489</v>
      </c>
      <c r="Q12" s="10">
        <v>3959763.5989999999</v>
      </c>
      <c r="R12" s="10">
        <v>5124</v>
      </c>
      <c r="S12" s="10">
        <v>79656.367459999994</v>
      </c>
      <c r="T12" s="27">
        <f t="shared" si="2"/>
        <v>9167933</v>
      </c>
      <c r="U12" s="27">
        <f t="shared" si="3"/>
        <v>15870817.69985</v>
      </c>
    </row>
    <row r="13" spans="1:21" x14ac:dyDescent="0.25">
      <c r="B13" s="8">
        <v>7</v>
      </c>
      <c r="C13" s="9" t="s">
        <v>17</v>
      </c>
      <c r="D13" s="10">
        <v>76019</v>
      </c>
      <c r="E13" s="10">
        <v>14770053</v>
      </c>
      <c r="F13" s="10">
        <v>63567</v>
      </c>
      <c r="G13" s="10">
        <v>156608.59</v>
      </c>
      <c r="H13" s="10">
        <v>26449</v>
      </c>
      <c r="I13" s="10">
        <v>62553.917999999998</v>
      </c>
      <c r="J13" s="10">
        <v>0</v>
      </c>
      <c r="K13" s="10">
        <v>0</v>
      </c>
      <c r="L13" s="10">
        <f t="shared" si="0"/>
        <v>90016</v>
      </c>
      <c r="M13" s="10">
        <f t="shared" si="1"/>
        <v>219162.508</v>
      </c>
      <c r="N13" s="10">
        <v>3906927</v>
      </c>
      <c r="O13" s="10">
        <v>7275090.6394999996</v>
      </c>
      <c r="P13" s="10">
        <v>1225514</v>
      </c>
      <c r="Q13" s="10">
        <v>1840134.0174</v>
      </c>
      <c r="R13" s="10">
        <v>0</v>
      </c>
      <c r="S13" s="10">
        <v>0</v>
      </c>
      <c r="T13" s="27">
        <f t="shared" si="2"/>
        <v>5132441</v>
      </c>
      <c r="U13" s="27">
        <f t="shared" si="3"/>
        <v>9115224.6568999998</v>
      </c>
    </row>
    <row r="14" spans="1:21" x14ac:dyDescent="0.25">
      <c r="B14" s="8">
        <v>8</v>
      </c>
      <c r="C14" s="9" t="s">
        <v>18</v>
      </c>
      <c r="D14" s="10">
        <v>0</v>
      </c>
      <c r="E14" s="10">
        <v>3500716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f t="shared" si="0"/>
        <v>0</v>
      </c>
      <c r="M14" s="10">
        <f t="shared" si="1"/>
        <v>0</v>
      </c>
      <c r="N14" s="10">
        <v>572804</v>
      </c>
      <c r="O14" s="10">
        <v>1178917.58552</v>
      </c>
      <c r="P14" s="10">
        <v>363912</v>
      </c>
      <c r="Q14" s="10">
        <v>715070.74586000096</v>
      </c>
      <c r="R14" s="10">
        <v>0</v>
      </c>
      <c r="S14" s="10">
        <v>0</v>
      </c>
      <c r="T14" s="27">
        <f t="shared" si="2"/>
        <v>936716</v>
      </c>
      <c r="U14" s="27">
        <f t="shared" si="3"/>
        <v>1893988.3313800008</v>
      </c>
    </row>
    <row r="15" spans="1:21" x14ac:dyDescent="0.25">
      <c r="B15" s="8">
        <v>9</v>
      </c>
      <c r="C15" s="9" t="s">
        <v>19</v>
      </c>
      <c r="D15" s="10">
        <v>329439</v>
      </c>
      <c r="E15" s="10">
        <v>45920571</v>
      </c>
      <c r="F15" s="10">
        <v>444473</v>
      </c>
      <c r="G15" s="10">
        <v>1289655.9756500002</v>
      </c>
      <c r="H15" s="10">
        <v>179652</v>
      </c>
      <c r="I15" s="10">
        <v>552103.23673999996</v>
      </c>
      <c r="J15" s="10">
        <v>0</v>
      </c>
      <c r="K15" s="10">
        <v>0</v>
      </c>
      <c r="L15" s="10">
        <f t="shared" si="0"/>
        <v>624125</v>
      </c>
      <c r="M15" s="10">
        <f t="shared" si="1"/>
        <v>1841759.21239</v>
      </c>
      <c r="N15" s="10">
        <v>9694013</v>
      </c>
      <c r="O15" s="10">
        <v>18331189.997979999</v>
      </c>
      <c r="P15" s="10">
        <v>6603883</v>
      </c>
      <c r="Q15" s="10">
        <v>8078639.0332899997</v>
      </c>
      <c r="R15" s="10">
        <v>0</v>
      </c>
      <c r="S15" s="10">
        <v>0</v>
      </c>
      <c r="T15" s="27">
        <f t="shared" si="2"/>
        <v>16297896</v>
      </c>
      <c r="U15" s="27">
        <f t="shared" si="3"/>
        <v>26409829.031269997</v>
      </c>
    </row>
    <row r="16" spans="1:21" x14ac:dyDescent="0.25">
      <c r="B16" s="8">
        <v>10</v>
      </c>
      <c r="C16" s="9" t="s">
        <v>20</v>
      </c>
      <c r="D16" s="10">
        <v>14148758</v>
      </c>
      <c r="E16" s="10">
        <v>278381730</v>
      </c>
      <c r="F16" s="10">
        <v>22132273</v>
      </c>
      <c r="G16" s="10">
        <v>66135452.2962</v>
      </c>
      <c r="H16" s="10">
        <v>22076473</v>
      </c>
      <c r="I16" s="10">
        <v>146218839.15233999</v>
      </c>
      <c r="J16" s="10">
        <v>0</v>
      </c>
      <c r="K16" s="10">
        <v>0</v>
      </c>
      <c r="L16" s="10">
        <f t="shared" si="0"/>
        <v>44208746</v>
      </c>
      <c r="M16" s="10">
        <f t="shared" si="1"/>
        <v>212354291.44854</v>
      </c>
      <c r="N16" s="10">
        <v>60782293</v>
      </c>
      <c r="O16" s="10">
        <v>122830916.11895001</v>
      </c>
      <c r="P16" s="10">
        <v>31798357</v>
      </c>
      <c r="Q16" s="10">
        <v>49812250.27978</v>
      </c>
      <c r="R16" s="10">
        <v>2377</v>
      </c>
      <c r="S16" s="10">
        <v>29206.87761</v>
      </c>
      <c r="T16" s="27">
        <f t="shared" si="2"/>
        <v>92583027</v>
      </c>
      <c r="U16" s="27">
        <f t="shared" si="3"/>
        <v>172672373.27634001</v>
      </c>
    </row>
    <row r="17" spans="2:21" x14ac:dyDescent="0.25">
      <c r="B17" s="8">
        <v>11</v>
      </c>
      <c r="C17" s="9" t="s">
        <v>21</v>
      </c>
      <c r="D17" s="10">
        <v>0</v>
      </c>
      <c r="E17" s="10">
        <v>11456060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f t="shared" si="0"/>
        <v>0</v>
      </c>
      <c r="M17" s="10">
        <f t="shared" si="1"/>
        <v>0</v>
      </c>
      <c r="N17" s="10">
        <v>1858991</v>
      </c>
      <c r="O17" s="10">
        <v>3744451.79</v>
      </c>
      <c r="P17" s="10">
        <v>1263796</v>
      </c>
      <c r="Q17" s="10">
        <v>1802681.9669999999</v>
      </c>
      <c r="R17" s="10">
        <v>852</v>
      </c>
      <c r="S17" s="10">
        <v>15800.9</v>
      </c>
      <c r="T17" s="27">
        <f t="shared" si="2"/>
        <v>3123639</v>
      </c>
      <c r="U17" s="27">
        <f t="shared" si="3"/>
        <v>5562934.6569999997</v>
      </c>
    </row>
    <row r="18" spans="2:21" x14ac:dyDescent="0.25">
      <c r="B18" s="8">
        <v>12</v>
      </c>
      <c r="C18" s="9" t="s">
        <v>22</v>
      </c>
      <c r="D18" s="10">
        <v>545740</v>
      </c>
      <c r="E18" s="10">
        <v>48623903</v>
      </c>
      <c r="F18" s="10">
        <v>492938</v>
      </c>
      <c r="G18" s="10">
        <v>1537323.6259999999</v>
      </c>
      <c r="H18" s="10">
        <v>284799</v>
      </c>
      <c r="I18" s="10">
        <v>992537.4672999999</v>
      </c>
      <c r="J18" s="10">
        <v>0</v>
      </c>
      <c r="K18" s="10">
        <v>0</v>
      </c>
      <c r="L18" s="10">
        <f t="shared" si="0"/>
        <v>777737</v>
      </c>
      <c r="M18" s="10">
        <f t="shared" si="1"/>
        <v>2529861.0932999998</v>
      </c>
      <c r="N18" s="10">
        <v>11022918</v>
      </c>
      <c r="O18" s="10">
        <v>19448011.441</v>
      </c>
      <c r="P18" s="10">
        <v>6997117</v>
      </c>
      <c r="Q18" s="10">
        <v>9998960.2599999998</v>
      </c>
      <c r="R18" s="10">
        <v>1515</v>
      </c>
      <c r="S18" s="10">
        <v>5749.2820000000002</v>
      </c>
      <c r="T18" s="27">
        <f t="shared" si="2"/>
        <v>18021550</v>
      </c>
      <c r="U18" s="27">
        <f t="shared" si="3"/>
        <v>29452720.982999999</v>
      </c>
    </row>
    <row r="19" spans="2:21" x14ac:dyDescent="0.25">
      <c r="B19" s="6" t="s">
        <v>23</v>
      </c>
      <c r="C19" s="7"/>
      <c r="D19" s="6"/>
      <c r="E19" s="6"/>
      <c r="F19" s="6"/>
      <c r="G19" s="6"/>
      <c r="H19" s="6"/>
      <c r="I19" s="6"/>
      <c r="J19" s="6"/>
      <c r="K19" s="6"/>
      <c r="L19" s="10"/>
      <c r="M19" s="10"/>
      <c r="N19" s="10"/>
      <c r="O19" s="10"/>
      <c r="P19" s="10"/>
      <c r="Q19" s="10"/>
      <c r="R19" s="10"/>
      <c r="S19" s="10"/>
      <c r="T19" s="27"/>
      <c r="U19" s="27"/>
    </row>
    <row r="20" spans="2:21" x14ac:dyDescent="0.25">
      <c r="B20" s="8">
        <v>13</v>
      </c>
      <c r="C20" s="9" t="s">
        <v>24</v>
      </c>
      <c r="D20" s="10">
        <v>9475786</v>
      </c>
      <c r="E20" s="10">
        <v>28233123</v>
      </c>
      <c r="F20" s="10">
        <v>15584751</v>
      </c>
      <c r="G20" s="10">
        <v>44919025.544160001</v>
      </c>
      <c r="H20" s="10">
        <v>10598060</v>
      </c>
      <c r="I20" s="10">
        <v>50803169.760980003</v>
      </c>
      <c r="J20" s="10">
        <v>0</v>
      </c>
      <c r="K20" s="10">
        <v>0</v>
      </c>
      <c r="L20" s="10">
        <f t="shared" si="0"/>
        <v>26182811</v>
      </c>
      <c r="M20" s="10">
        <f t="shared" si="1"/>
        <v>95722195.305140004</v>
      </c>
      <c r="N20" s="10">
        <v>12635517</v>
      </c>
      <c r="O20" s="10">
        <v>30044348.332369994</v>
      </c>
      <c r="P20" s="10">
        <v>6055599</v>
      </c>
      <c r="Q20" s="10">
        <v>16429505.19038</v>
      </c>
      <c r="R20" s="10">
        <v>21748</v>
      </c>
      <c r="S20" s="10">
        <v>545062.8909</v>
      </c>
      <c r="T20" s="27">
        <f t="shared" si="2"/>
        <v>18712864</v>
      </c>
      <c r="U20" s="27">
        <f t="shared" si="3"/>
        <v>47018916.413649991</v>
      </c>
    </row>
    <row r="21" spans="2:21" x14ac:dyDescent="0.25">
      <c r="B21" s="8">
        <v>14</v>
      </c>
      <c r="C21" s="9" t="s">
        <v>25</v>
      </c>
      <c r="D21" s="10">
        <v>0</v>
      </c>
      <c r="E21" s="10">
        <v>5090313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f t="shared" si="0"/>
        <v>0</v>
      </c>
      <c r="M21" s="10">
        <f t="shared" si="1"/>
        <v>0</v>
      </c>
      <c r="N21" s="10">
        <v>605706</v>
      </c>
      <c r="O21" s="10">
        <v>1415689</v>
      </c>
      <c r="P21" s="10">
        <v>373822</v>
      </c>
      <c r="Q21" s="10">
        <v>760351</v>
      </c>
      <c r="R21" s="10">
        <v>0</v>
      </c>
      <c r="S21" s="10">
        <v>0</v>
      </c>
      <c r="T21" s="27">
        <f t="shared" si="2"/>
        <v>979528</v>
      </c>
      <c r="U21" s="27">
        <f t="shared" si="3"/>
        <v>2176040</v>
      </c>
    </row>
    <row r="22" spans="2:21" x14ac:dyDescent="0.25">
      <c r="B22" s="8">
        <v>15</v>
      </c>
      <c r="C22" s="9" t="s">
        <v>27</v>
      </c>
      <c r="D22" s="10">
        <v>1747</v>
      </c>
      <c r="E22" s="10">
        <v>2613007</v>
      </c>
      <c r="F22" s="10">
        <v>1559</v>
      </c>
      <c r="G22" s="10">
        <v>4116.9772800000001</v>
      </c>
      <c r="H22" s="10">
        <v>403</v>
      </c>
      <c r="I22" s="10">
        <v>1985.3642399999999</v>
      </c>
      <c r="J22" s="10">
        <v>0</v>
      </c>
      <c r="K22" s="10">
        <v>0</v>
      </c>
      <c r="L22" s="10">
        <f t="shared" si="0"/>
        <v>1962</v>
      </c>
      <c r="M22" s="10">
        <f t="shared" si="1"/>
        <v>6102.3415199999999</v>
      </c>
      <c r="N22" s="10">
        <v>945149</v>
      </c>
      <c r="O22" s="10">
        <v>1814860.66973</v>
      </c>
      <c r="P22" s="10">
        <v>214155</v>
      </c>
      <c r="Q22" s="10">
        <v>338641.79337999999</v>
      </c>
      <c r="R22" s="10">
        <v>0</v>
      </c>
      <c r="S22" s="10">
        <v>0</v>
      </c>
      <c r="T22" s="27">
        <f t="shared" si="2"/>
        <v>1159304</v>
      </c>
      <c r="U22" s="27">
        <f t="shared" si="3"/>
        <v>2153502.4631099999</v>
      </c>
    </row>
    <row r="23" spans="2:21" x14ac:dyDescent="0.25">
      <c r="B23" s="8">
        <v>16</v>
      </c>
      <c r="C23" s="9" t="s">
        <v>26</v>
      </c>
      <c r="D23" s="10">
        <v>0</v>
      </c>
      <c r="E23" s="10">
        <v>815718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f t="shared" si="0"/>
        <v>0</v>
      </c>
      <c r="M23" s="10">
        <f t="shared" si="1"/>
        <v>0</v>
      </c>
      <c r="N23" s="10">
        <v>266779</v>
      </c>
      <c r="O23" s="10">
        <v>472381.28894</v>
      </c>
      <c r="P23" s="10">
        <v>55022</v>
      </c>
      <c r="Q23" s="10">
        <v>94335.979240000001</v>
      </c>
      <c r="R23" s="10">
        <v>2</v>
      </c>
      <c r="S23" s="10">
        <v>14</v>
      </c>
      <c r="T23" s="27">
        <f t="shared" si="2"/>
        <v>321803</v>
      </c>
      <c r="U23" s="27">
        <f t="shared" si="3"/>
        <v>566731.26818000001</v>
      </c>
    </row>
    <row r="24" spans="2:21" x14ac:dyDescent="0.25">
      <c r="B24" s="8">
        <v>17</v>
      </c>
      <c r="C24" s="9" t="s">
        <v>28</v>
      </c>
      <c r="D24" s="10">
        <v>3633</v>
      </c>
      <c r="E24" s="10">
        <v>874322</v>
      </c>
      <c r="F24" s="10">
        <v>6366</v>
      </c>
      <c r="G24" s="10">
        <v>14827.498</v>
      </c>
      <c r="H24" s="10">
        <v>3599</v>
      </c>
      <c r="I24" s="10">
        <v>11933.136</v>
      </c>
      <c r="J24" s="10">
        <v>0</v>
      </c>
      <c r="K24" s="10">
        <v>0</v>
      </c>
      <c r="L24" s="10">
        <f t="shared" si="0"/>
        <v>9965</v>
      </c>
      <c r="M24" s="10">
        <f t="shared" si="1"/>
        <v>26760.633999999998</v>
      </c>
      <c r="N24" s="10">
        <v>295629</v>
      </c>
      <c r="O24" s="10">
        <v>604820.68799999997</v>
      </c>
      <c r="P24" s="10">
        <v>88057</v>
      </c>
      <c r="Q24" s="10">
        <v>368388.33100000001</v>
      </c>
      <c r="R24" s="10">
        <v>481</v>
      </c>
      <c r="S24" s="10">
        <v>15266.174999999999</v>
      </c>
      <c r="T24" s="27">
        <f t="shared" si="2"/>
        <v>384167</v>
      </c>
      <c r="U24" s="27">
        <f t="shared" si="3"/>
        <v>988475.1939999999</v>
      </c>
    </row>
    <row r="25" spans="2:21" x14ac:dyDescent="0.25">
      <c r="B25" s="8">
        <v>18</v>
      </c>
      <c r="C25" s="9" t="s">
        <v>29</v>
      </c>
      <c r="D25" s="10">
        <v>7233</v>
      </c>
      <c r="E25" s="10">
        <v>513144</v>
      </c>
      <c r="F25" s="10">
        <v>17941</v>
      </c>
      <c r="G25" s="10">
        <v>38447.8269</v>
      </c>
      <c r="H25" s="10">
        <v>6364</v>
      </c>
      <c r="I25" s="10">
        <v>21406.198100000001</v>
      </c>
      <c r="J25" s="10">
        <v>14</v>
      </c>
      <c r="K25" s="10">
        <v>79.978999999999999</v>
      </c>
      <c r="L25" s="10">
        <f t="shared" si="0"/>
        <v>24319</v>
      </c>
      <c r="M25" s="10">
        <f t="shared" si="1"/>
        <v>59934.004000000001</v>
      </c>
      <c r="N25" s="10">
        <v>265080</v>
      </c>
      <c r="O25" s="10">
        <v>441641.26377999998</v>
      </c>
      <c r="P25" s="10">
        <v>57902</v>
      </c>
      <c r="Q25" s="10">
        <v>91656.367799999993</v>
      </c>
      <c r="R25" s="10">
        <v>0</v>
      </c>
      <c r="S25" s="10">
        <v>0</v>
      </c>
      <c r="T25" s="27">
        <f t="shared" si="2"/>
        <v>322982</v>
      </c>
      <c r="U25" s="27">
        <f t="shared" si="3"/>
        <v>533297.63157999993</v>
      </c>
    </row>
    <row r="26" spans="2:21" x14ac:dyDescent="0.25">
      <c r="B26" s="8">
        <v>19</v>
      </c>
      <c r="C26" s="9" t="s">
        <v>30</v>
      </c>
      <c r="D26" s="10">
        <v>205091</v>
      </c>
      <c r="E26" s="10">
        <v>11871123</v>
      </c>
      <c r="F26" s="10">
        <v>494647</v>
      </c>
      <c r="G26" s="10">
        <v>1583242.0260000001</v>
      </c>
      <c r="H26" s="10">
        <v>502180</v>
      </c>
      <c r="I26" s="10">
        <v>2283332.8360000001</v>
      </c>
      <c r="J26" s="10">
        <v>0</v>
      </c>
      <c r="K26" s="10">
        <v>0</v>
      </c>
      <c r="L26" s="10">
        <f t="shared" si="0"/>
        <v>996827</v>
      </c>
      <c r="M26" s="10">
        <f t="shared" si="1"/>
        <v>3866574.8620000002</v>
      </c>
      <c r="N26" s="10">
        <v>5825853</v>
      </c>
      <c r="O26" s="10">
        <v>9950569.7349999994</v>
      </c>
      <c r="P26" s="10">
        <v>2082272</v>
      </c>
      <c r="Q26" s="10">
        <v>4077134.9739999999</v>
      </c>
      <c r="R26" s="10">
        <v>1939</v>
      </c>
      <c r="S26" s="10">
        <v>21154.69</v>
      </c>
      <c r="T26" s="27">
        <f t="shared" si="2"/>
        <v>7910064</v>
      </c>
      <c r="U26" s="27">
        <f t="shared" si="3"/>
        <v>14048859.399</v>
      </c>
    </row>
    <row r="27" spans="2:21" x14ac:dyDescent="0.25">
      <c r="B27" s="8">
        <v>20</v>
      </c>
      <c r="C27" s="9" t="s">
        <v>31</v>
      </c>
      <c r="D27" s="10">
        <v>17219010</v>
      </c>
      <c r="E27" s="10">
        <v>44236727</v>
      </c>
      <c r="F27" s="10">
        <v>32175588</v>
      </c>
      <c r="G27" s="10">
        <v>128182453.838</v>
      </c>
      <c r="H27" s="10">
        <v>28195486</v>
      </c>
      <c r="I27" s="10">
        <v>186606867.551</v>
      </c>
      <c r="J27" s="10">
        <v>0</v>
      </c>
      <c r="K27" s="10">
        <v>0</v>
      </c>
      <c r="L27" s="10">
        <f t="shared" si="0"/>
        <v>60371074</v>
      </c>
      <c r="M27" s="10">
        <f t="shared" si="1"/>
        <v>314789321.389</v>
      </c>
      <c r="N27" s="10">
        <v>26041856</v>
      </c>
      <c r="O27" s="10">
        <v>62158439.226999998</v>
      </c>
      <c r="P27" s="10">
        <v>17543203</v>
      </c>
      <c r="Q27" s="10">
        <v>39941483.288999997</v>
      </c>
      <c r="R27" s="10">
        <v>574688</v>
      </c>
      <c r="S27" s="10">
        <v>4049282.733</v>
      </c>
      <c r="T27" s="27">
        <f t="shared" si="2"/>
        <v>44159747</v>
      </c>
      <c r="U27" s="27">
        <f t="shared" si="3"/>
        <v>106149205.249</v>
      </c>
    </row>
    <row r="28" spans="2:21" x14ac:dyDescent="0.25">
      <c r="B28" s="8">
        <v>21</v>
      </c>
      <c r="C28" s="9" t="s">
        <v>32</v>
      </c>
      <c r="D28" s="10">
        <v>13340781</v>
      </c>
      <c r="E28" s="10">
        <v>36983226</v>
      </c>
      <c r="F28" s="10">
        <v>20702689</v>
      </c>
      <c r="G28" s="10">
        <v>73993351.967999995</v>
      </c>
      <c r="H28" s="10">
        <v>24975238</v>
      </c>
      <c r="I28" s="10">
        <v>144592751.72</v>
      </c>
      <c r="J28" s="10">
        <v>0</v>
      </c>
      <c r="K28" s="10">
        <v>0</v>
      </c>
      <c r="L28" s="10">
        <f t="shared" si="0"/>
        <v>45677927</v>
      </c>
      <c r="M28" s="10">
        <f t="shared" si="1"/>
        <v>218586103.68799999</v>
      </c>
      <c r="N28" s="10">
        <v>17610606</v>
      </c>
      <c r="O28" s="10">
        <v>43837164.840000004</v>
      </c>
      <c r="P28" s="10">
        <v>7031542</v>
      </c>
      <c r="Q28" s="10">
        <v>21585246.861000001</v>
      </c>
      <c r="R28" s="10">
        <v>23777</v>
      </c>
      <c r="S28" s="10">
        <v>234426.30499999999</v>
      </c>
      <c r="T28" s="27">
        <f t="shared" si="2"/>
        <v>24665925</v>
      </c>
      <c r="U28" s="27">
        <f t="shared" si="3"/>
        <v>65656838.006000005</v>
      </c>
    </row>
    <row r="29" spans="2:21" x14ac:dyDescent="0.25">
      <c r="B29" s="8">
        <v>22</v>
      </c>
      <c r="C29" s="9" t="s">
        <v>33</v>
      </c>
      <c r="D29" s="10">
        <v>41850</v>
      </c>
      <c r="E29" s="10">
        <v>12779682</v>
      </c>
      <c r="F29" s="10">
        <v>76399</v>
      </c>
      <c r="G29" s="10">
        <v>234440.62700000001</v>
      </c>
      <c r="H29" s="10">
        <v>52582</v>
      </c>
      <c r="I29" s="10">
        <v>173172.74752999999</v>
      </c>
      <c r="J29" s="10">
        <v>0</v>
      </c>
      <c r="K29" s="10">
        <v>0</v>
      </c>
      <c r="L29" s="10">
        <f t="shared" si="0"/>
        <v>128981</v>
      </c>
      <c r="M29" s="10">
        <f t="shared" si="1"/>
        <v>407613.37453000003</v>
      </c>
      <c r="N29" s="10">
        <v>2927772</v>
      </c>
      <c r="O29" s="10">
        <v>5671810.6540000001</v>
      </c>
      <c r="P29" s="10">
        <v>953353</v>
      </c>
      <c r="Q29" s="10">
        <v>1685654.483</v>
      </c>
      <c r="R29" s="10">
        <v>0</v>
      </c>
      <c r="S29" s="10">
        <v>0</v>
      </c>
      <c r="T29" s="27">
        <f t="shared" si="2"/>
        <v>3881125</v>
      </c>
      <c r="U29" s="27">
        <f t="shared" si="3"/>
        <v>7357465.1370000001</v>
      </c>
    </row>
    <row r="30" spans="2:21" x14ac:dyDescent="0.25">
      <c r="B30" s="8">
        <v>23</v>
      </c>
      <c r="C30" s="9" t="s">
        <v>34</v>
      </c>
      <c r="D30" s="10">
        <v>887837</v>
      </c>
      <c r="E30" s="10">
        <v>4309591</v>
      </c>
      <c r="F30" s="10">
        <v>1488223</v>
      </c>
      <c r="G30" s="10">
        <v>5213691.2110000001</v>
      </c>
      <c r="H30" s="10">
        <v>1261250</v>
      </c>
      <c r="I30" s="10">
        <v>7440294.5710000005</v>
      </c>
      <c r="J30" s="10">
        <v>0</v>
      </c>
      <c r="K30" s="10">
        <v>0</v>
      </c>
      <c r="L30" s="10">
        <f t="shared" si="0"/>
        <v>2749473</v>
      </c>
      <c r="M30" s="10">
        <f t="shared" si="1"/>
        <v>12653985.782000002</v>
      </c>
      <c r="N30" s="10">
        <v>1461865</v>
      </c>
      <c r="O30" s="10">
        <v>2327615.3029999998</v>
      </c>
      <c r="P30" s="10">
        <v>467803</v>
      </c>
      <c r="Q30" s="10">
        <v>1299269.165</v>
      </c>
      <c r="R30" s="10">
        <v>0</v>
      </c>
      <c r="S30" s="10">
        <v>0</v>
      </c>
      <c r="T30" s="27">
        <f t="shared" si="2"/>
        <v>1929668</v>
      </c>
      <c r="U30" s="27">
        <f t="shared" si="3"/>
        <v>3626884.4679999999</v>
      </c>
    </row>
    <row r="31" spans="2:21" x14ac:dyDescent="0.25">
      <c r="B31" s="8">
        <v>24</v>
      </c>
      <c r="C31" s="9" t="s">
        <v>35</v>
      </c>
      <c r="D31" s="10">
        <v>1972365</v>
      </c>
      <c r="E31" s="10">
        <v>7140280</v>
      </c>
      <c r="F31" s="10">
        <v>2438142</v>
      </c>
      <c r="G31" s="10">
        <v>11487643.800000001</v>
      </c>
      <c r="H31" s="10">
        <v>2517320</v>
      </c>
      <c r="I31" s="10">
        <v>49285370.158</v>
      </c>
      <c r="J31" s="10">
        <v>0</v>
      </c>
      <c r="K31" s="10">
        <v>0</v>
      </c>
      <c r="L31" s="10">
        <f t="shared" si="0"/>
        <v>4955462</v>
      </c>
      <c r="M31" s="10">
        <f t="shared" si="1"/>
        <v>60773013.958000004</v>
      </c>
      <c r="N31" s="10">
        <v>1788880</v>
      </c>
      <c r="O31" s="10">
        <v>3715271.193</v>
      </c>
      <c r="P31" s="10">
        <v>1153156</v>
      </c>
      <c r="Q31" s="10">
        <v>3201632.7230000002</v>
      </c>
      <c r="R31" s="10">
        <v>1213</v>
      </c>
      <c r="S31" s="10">
        <v>67213.228560000003</v>
      </c>
      <c r="T31" s="27">
        <f t="shared" si="2"/>
        <v>2943249</v>
      </c>
      <c r="U31" s="27">
        <f t="shared" si="3"/>
        <v>6984117.1445599999</v>
      </c>
    </row>
    <row r="32" spans="2:21" x14ac:dyDescent="0.25">
      <c r="B32" s="8">
        <v>25</v>
      </c>
      <c r="C32" s="9" t="s">
        <v>36</v>
      </c>
      <c r="D32" s="10">
        <v>81550</v>
      </c>
      <c r="E32" s="10">
        <v>3548259</v>
      </c>
      <c r="F32" s="10">
        <v>138182</v>
      </c>
      <c r="G32" s="10">
        <v>851532.24991999997</v>
      </c>
      <c r="H32" s="10">
        <v>120102</v>
      </c>
      <c r="I32" s="10">
        <v>280142.53094999999</v>
      </c>
      <c r="J32" s="10">
        <v>0</v>
      </c>
      <c r="K32" s="10">
        <v>0</v>
      </c>
      <c r="L32" s="10">
        <f t="shared" si="0"/>
        <v>258284</v>
      </c>
      <c r="M32" s="10">
        <f t="shared" si="1"/>
        <v>1131674.7808699999</v>
      </c>
      <c r="N32" s="10">
        <v>1248972</v>
      </c>
      <c r="O32" s="10">
        <v>2898543.19178</v>
      </c>
      <c r="P32" s="10">
        <v>3900341</v>
      </c>
      <c r="Q32" s="10">
        <v>1516772.8022799999</v>
      </c>
      <c r="R32" s="10">
        <v>0</v>
      </c>
      <c r="S32" s="10">
        <v>0</v>
      </c>
      <c r="T32" s="27">
        <f t="shared" si="2"/>
        <v>5149313</v>
      </c>
      <c r="U32" s="27">
        <f t="shared" si="3"/>
        <v>4415315.9940600004</v>
      </c>
    </row>
    <row r="33" spans="1:21" x14ac:dyDescent="0.25">
      <c r="B33" s="8">
        <v>26</v>
      </c>
      <c r="C33" s="9" t="s">
        <v>37</v>
      </c>
      <c r="D33" s="10">
        <v>0</v>
      </c>
      <c r="E33" s="10">
        <v>5159931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f t="shared" si="0"/>
        <v>0</v>
      </c>
      <c r="M33" s="10">
        <f t="shared" si="1"/>
        <v>0</v>
      </c>
      <c r="N33" s="10">
        <v>1954943</v>
      </c>
      <c r="O33" s="10">
        <v>2998506.6420200001</v>
      </c>
      <c r="P33" s="10">
        <v>446088</v>
      </c>
      <c r="Q33" s="10">
        <v>672518.16428000003</v>
      </c>
      <c r="R33" s="10">
        <v>0</v>
      </c>
      <c r="S33" s="10">
        <v>0</v>
      </c>
      <c r="T33" s="27">
        <f t="shared" si="2"/>
        <v>2401031</v>
      </c>
      <c r="U33" s="27">
        <f t="shared" si="3"/>
        <v>3671024.8063000003</v>
      </c>
    </row>
    <row r="34" spans="1:21" x14ac:dyDescent="0.25">
      <c r="B34" s="8">
        <v>27</v>
      </c>
      <c r="C34" s="9" t="s">
        <v>38</v>
      </c>
      <c r="D34" s="10">
        <v>7430</v>
      </c>
      <c r="E34" s="10">
        <v>4050405</v>
      </c>
      <c r="F34" s="10">
        <v>19665</v>
      </c>
      <c r="G34" s="10">
        <v>100348.74429999999</v>
      </c>
      <c r="H34" s="10">
        <v>4624</v>
      </c>
      <c r="I34" s="10">
        <v>41205.776479999993</v>
      </c>
      <c r="J34" s="10">
        <v>0</v>
      </c>
      <c r="K34" s="10">
        <v>0</v>
      </c>
      <c r="L34" s="10">
        <f t="shared" si="0"/>
        <v>24289</v>
      </c>
      <c r="M34" s="10">
        <f t="shared" si="1"/>
        <v>141554.52077999999</v>
      </c>
      <c r="N34" s="10">
        <v>2056616</v>
      </c>
      <c r="O34" s="10">
        <v>4311667.9979999997</v>
      </c>
      <c r="P34" s="10">
        <v>454599</v>
      </c>
      <c r="Q34" s="10">
        <v>1037288.105</v>
      </c>
      <c r="R34" s="10">
        <v>16392</v>
      </c>
      <c r="S34" s="10">
        <v>219444.9656</v>
      </c>
      <c r="T34" s="27">
        <f t="shared" si="2"/>
        <v>2527607</v>
      </c>
      <c r="U34" s="27">
        <f t="shared" si="3"/>
        <v>5568401.0685999999</v>
      </c>
    </row>
    <row r="35" spans="1:21" x14ac:dyDescent="0.25">
      <c r="B35" s="8">
        <v>28</v>
      </c>
      <c r="C35" s="9" t="s">
        <v>39</v>
      </c>
      <c r="D35" s="10">
        <v>3606571</v>
      </c>
      <c r="E35" s="10">
        <v>24228289</v>
      </c>
      <c r="F35" s="10">
        <v>4398971</v>
      </c>
      <c r="G35" s="10">
        <v>13537860.301999999</v>
      </c>
      <c r="H35" s="10">
        <v>3518928</v>
      </c>
      <c r="I35" s="10">
        <v>19126241.703000002</v>
      </c>
      <c r="J35" s="10">
        <v>0</v>
      </c>
      <c r="K35" s="10">
        <v>0</v>
      </c>
      <c r="L35" s="10">
        <f t="shared" si="0"/>
        <v>7917899</v>
      </c>
      <c r="M35" s="10">
        <f t="shared" si="1"/>
        <v>32664102.005000003</v>
      </c>
      <c r="N35" s="10">
        <v>5803817</v>
      </c>
      <c r="O35" s="10">
        <v>10335201.75</v>
      </c>
      <c r="P35" s="10">
        <v>4180390</v>
      </c>
      <c r="Q35" s="10">
        <v>8666647.3249999993</v>
      </c>
      <c r="R35" s="10">
        <v>0</v>
      </c>
      <c r="S35" s="10">
        <v>0</v>
      </c>
      <c r="T35" s="27">
        <f t="shared" si="2"/>
        <v>9984207</v>
      </c>
      <c r="U35" s="27">
        <f t="shared" si="3"/>
        <v>19001849.074999999</v>
      </c>
    </row>
    <row r="36" spans="1:21" x14ac:dyDescent="0.25">
      <c r="B36" s="8">
        <v>29</v>
      </c>
      <c r="C36" s="9" t="s">
        <v>40</v>
      </c>
      <c r="D36" s="10">
        <v>3827746</v>
      </c>
      <c r="E36" s="10">
        <v>1356091</v>
      </c>
      <c r="F36" s="10">
        <v>5463910</v>
      </c>
      <c r="G36" s="10">
        <v>20480924.550000001</v>
      </c>
      <c r="H36" s="10">
        <v>4467495</v>
      </c>
      <c r="I36" s="10">
        <v>25394666.693</v>
      </c>
      <c r="J36" s="10">
        <v>0</v>
      </c>
      <c r="K36" s="10">
        <v>0</v>
      </c>
      <c r="L36" s="10">
        <f t="shared" si="0"/>
        <v>9931405</v>
      </c>
      <c r="M36" s="10">
        <f t="shared" si="1"/>
        <v>45875591.243000001</v>
      </c>
      <c r="N36" s="10">
        <v>326687</v>
      </c>
      <c r="O36" s="10">
        <v>645809.29979999992</v>
      </c>
      <c r="P36" s="10">
        <v>150434</v>
      </c>
      <c r="Q36" s="10">
        <v>425564.86810000002</v>
      </c>
      <c r="R36" s="10">
        <v>100</v>
      </c>
      <c r="S36" s="10">
        <v>3820.2352500000002</v>
      </c>
      <c r="T36" s="27">
        <f t="shared" si="2"/>
        <v>477221</v>
      </c>
      <c r="U36" s="27">
        <f t="shared" si="3"/>
        <v>1075194.4031499999</v>
      </c>
    </row>
    <row r="37" spans="1:21" x14ac:dyDescent="0.25">
      <c r="B37" s="8">
        <v>30</v>
      </c>
      <c r="C37" s="9" t="s">
        <v>41</v>
      </c>
      <c r="D37" s="10">
        <v>87173</v>
      </c>
      <c r="E37" s="10">
        <v>3696135</v>
      </c>
      <c r="F37" s="10">
        <v>262635</v>
      </c>
      <c r="G37" s="10">
        <v>801079.30989999999</v>
      </c>
      <c r="H37" s="10">
        <v>249052</v>
      </c>
      <c r="I37" s="10">
        <v>1198075.351</v>
      </c>
      <c r="J37" s="10">
        <v>0</v>
      </c>
      <c r="K37" s="10">
        <v>0</v>
      </c>
      <c r="L37" s="10">
        <f t="shared" si="0"/>
        <v>511687</v>
      </c>
      <c r="M37" s="10">
        <f t="shared" si="1"/>
        <v>1999154.6609</v>
      </c>
      <c r="N37" s="10">
        <v>1997008</v>
      </c>
      <c r="O37" s="10">
        <v>3658779.0918400004</v>
      </c>
      <c r="P37" s="10">
        <v>473716</v>
      </c>
      <c r="Q37" s="10">
        <v>964730.99547000008</v>
      </c>
      <c r="R37" s="10">
        <v>0</v>
      </c>
      <c r="S37" s="10">
        <v>0</v>
      </c>
      <c r="T37" s="27">
        <f t="shared" si="2"/>
        <v>2470724</v>
      </c>
      <c r="U37" s="27">
        <f t="shared" si="3"/>
        <v>4623510.0873100003</v>
      </c>
    </row>
    <row r="38" spans="1:21" x14ac:dyDescent="0.25">
      <c r="B38" s="8">
        <v>31</v>
      </c>
      <c r="C38" s="9" t="s">
        <v>42</v>
      </c>
      <c r="D38" s="10">
        <v>37405</v>
      </c>
      <c r="E38" s="10">
        <v>2079096</v>
      </c>
      <c r="F38" s="10">
        <v>45540</v>
      </c>
      <c r="G38" s="10">
        <v>199732.17199999999</v>
      </c>
      <c r="H38" s="10">
        <v>21968</v>
      </c>
      <c r="I38" s="10">
        <v>98804.609700000001</v>
      </c>
      <c r="J38" s="10">
        <v>0</v>
      </c>
      <c r="K38" s="10">
        <v>0</v>
      </c>
      <c r="L38" s="10">
        <f t="shared" si="0"/>
        <v>67508</v>
      </c>
      <c r="M38" s="10">
        <f t="shared" si="1"/>
        <v>298536.78169999999</v>
      </c>
      <c r="N38" s="10">
        <v>484768</v>
      </c>
      <c r="O38" s="10">
        <v>1037483.478</v>
      </c>
      <c r="P38" s="10">
        <v>154454</v>
      </c>
      <c r="Q38" s="10">
        <v>230810.6465</v>
      </c>
      <c r="R38" s="10">
        <v>124</v>
      </c>
      <c r="S38" s="10">
        <v>348.08100000000002</v>
      </c>
      <c r="T38" s="27">
        <f t="shared" si="2"/>
        <v>639346</v>
      </c>
      <c r="U38" s="27">
        <f t="shared" si="3"/>
        <v>1268642.2054999999</v>
      </c>
    </row>
    <row r="39" spans="1:21" x14ac:dyDescent="0.25">
      <c r="B39" s="8">
        <v>32</v>
      </c>
      <c r="C39" s="9" t="s">
        <v>43</v>
      </c>
      <c r="D39" s="10">
        <v>1238367</v>
      </c>
      <c r="E39" s="10">
        <v>3769309</v>
      </c>
      <c r="F39" s="10">
        <v>1550437</v>
      </c>
      <c r="G39" s="10">
        <v>4400488.56226</v>
      </c>
      <c r="H39" s="10">
        <v>1178234</v>
      </c>
      <c r="I39" s="10">
        <v>6586041.7496099994</v>
      </c>
      <c r="J39" s="10">
        <v>0</v>
      </c>
      <c r="K39" s="10">
        <v>0</v>
      </c>
      <c r="L39" s="10">
        <f t="shared" si="0"/>
        <v>2728671</v>
      </c>
      <c r="M39" s="10">
        <f t="shared" si="1"/>
        <v>10986530.311869999</v>
      </c>
      <c r="N39" s="10">
        <v>1381162</v>
      </c>
      <c r="O39" s="10">
        <v>2625437.71001</v>
      </c>
      <c r="P39" s="10">
        <v>746849</v>
      </c>
      <c r="Q39" s="10">
        <v>1616085.9650000001</v>
      </c>
      <c r="R39" s="10">
        <v>68</v>
      </c>
      <c r="S39" s="10">
        <v>1452.125</v>
      </c>
      <c r="T39" s="27">
        <f t="shared" si="2"/>
        <v>2128079</v>
      </c>
      <c r="U39" s="27">
        <f t="shared" si="3"/>
        <v>4242975.8000100004</v>
      </c>
    </row>
    <row r="40" spans="1:21" x14ac:dyDescent="0.25">
      <c r="B40" s="6" t="s">
        <v>44</v>
      </c>
      <c r="C40" s="7"/>
      <c r="D40" s="6"/>
      <c r="E40" s="6"/>
      <c r="F40" s="6"/>
      <c r="G40" s="10"/>
      <c r="H40" s="6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27"/>
      <c r="U40" s="27"/>
    </row>
    <row r="41" spans="1:21" x14ac:dyDescent="0.25">
      <c r="B41" s="8">
        <v>33</v>
      </c>
      <c r="C41" s="9" t="s">
        <v>45</v>
      </c>
      <c r="D41" s="10">
        <v>1366552</v>
      </c>
      <c r="E41" s="10">
        <v>0</v>
      </c>
      <c r="F41" s="10">
        <v>1034325</v>
      </c>
      <c r="G41" s="10">
        <v>7361016.8219999997</v>
      </c>
      <c r="H41" s="10">
        <v>3420823</v>
      </c>
      <c r="I41" s="10">
        <v>22946533.420000002</v>
      </c>
      <c r="J41" s="10">
        <v>0</v>
      </c>
      <c r="K41" s="10">
        <v>0</v>
      </c>
      <c r="L41" s="10">
        <f t="shared" si="0"/>
        <v>4455148</v>
      </c>
      <c r="M41" s="10">
        <f t="shared" si="1"/>
        <v>30307550.242000002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27">
        <f t="shared" si="2"/>
        <v>0</v>
      </c>
      <c r="U41" s="27">
        <f t="shared" si="3"/>
        <v>0</v>
      </c>
    </row>
    <row r="42" spans="1:21" x14ac:dyDescent="0.25">
      <c r="B42" s="8">
        <v>34</v>
      </c>
      <c r="C42" s="9" t="s">
        <v>46</v>
      </c>
      <c r="D42" s="10">
        <v>21417</v>
      </c>
      <c r="E42" s="10">
        <v>0</v>
      </c>
      <c r="F42" s="10">
        <v>28869</v>
      </c>
      <c r="G42" s="10">
        <v>121872.82711</v>
      </c>
      <c r="H42" s="10">
        <v>13335</v>
      </c>
      <c r="I42" s="10">
        <v>147003.2929</v>
      </c>
      <c r="J42" s="10">
        <v>0</v>
      </c>
      <c r="K42" s="10">
        <v>0</v>
      </c>
      <c r="L42" s="10">
        <f t="shared" si="0"/>
        <v>42204</v>
      </c>
      <c r="M42" s="10">
        <f t="shared" si="1"/>
        <v>268876.12001000001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27">
        <f t="shared" si="2"/>
        <v>0</v>
      </c>
      <c r="U42" s="27">
        <f t="shared" si="3"/>
        <v>0</v>
      </c>
    </row>
    <row r="43" spans="1:21" x14ac:dyDescent="0.25">
      <c r="B43" s="8">
        <v>35</v>
      </c>
      <c r="C43" s="9" t="s">
        <v>47</v>
      </c>
      <c r="D43" s="10">
        <v>0</v>
      </c>
      <c r="E43" s="10">
        <v>1696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f t="shared" si="0"/>
        <v>0</v>
      </c>
      <c r="M43" s="10">
        <f t="shared" si="1"/>
        <v>0</v>
      </c>
      <c r="N43" s="10">
        <v>78</v>
      </c>
      <c r="O43" s="10">
        <v>302.83515999999997</v>
      </c>
      <c r="P43" s="10">
        <v>12</v>
      </c>
      <c r="Q43" s="10">
        <v>10.099</v>
      </c>
      <c r="R43" s="10">
        <v>0</v>
      </c>
      <c r="S43" s="10">
        <v>0</v>
      </c>
      <c r="T43" s="27">
        <f t="shared" si="2"/>
        <v>90</v>
      </c>
      <c r="U43" s="27">
        <f t="shared" si="3"/>
        <v>312.93415999999996</v>
      </c>
    </row>
    <row r="44" spans="1:21" x14ac:dyDescent="0.25">
      <c r="B44" s="8">
        <v>36</v>
      </c>
      <c r="C44" s="9" t="s">
        <v>48</v>
      </c>
      <c r="D44" s="10">
        <v>2550537</v>
      </c>
      <c r="E44" s="10">
        <v>1343391</v>
      </c>
      <c r="F44" s="10">
        <v>7259923</v>
      </c>
      <c r="G44" s="10">
        <v>20067989.316709999</v>
      </c>
      <c r="H44" s="10">
        <v>6177768</v>
      </c>
      <c r="I44" s="10">
        <v>25162043.45496</v>
      </c>
      <c r="J44" s="10">
        <v>0</v>
      </c>
      <c r="K44" s="10">
        <v>0</v>
      </c>
      <c r="L44" s="10">
        <f t="shared" si="0"/>
        <v>13437691</v>
      </c>
      <c r="M44" s="10">
        <f t="shared" si="1"/>
        <v>45230032.771669999</v>
      </c>
      <c r="N44" s="10">
        <v>1036921</v>
      </c>
      <c r="O44" s="10">
        <v>2590026.5291799996</v>
      </c>
      <c r="P44" s="10">
        <v>1056479</v>
      </c>
      <c r="Q44" s="10">
        <v>2923788.70915</v>
      </c>
      <c r="R44" s="10">
        <v>0</v>
      </c>
      <c r="S44" s="10">
        <v>0</v>
      </c>
      <c r="T44" s="27">
        <f t="shared" si="2"/>
        <v>2093400</v>
      </c>
      <c r="U44" s="27">
        <f t="shared" si="3"/>
        <v>5513815.2383299991</v>
      </c>
    </row>
    <row r="45" spans="1:21" x14ac:dyDescent="0.25">
      <c r="B45" s="8">
        <v>37</v>
      </c>
      <c r="C45" s="9" t="s">
        <v>49</v>
      </c>
      <c r="D45" s="10">
        <v>12937</v>
      </c>
      <c r="E45" s="10">
        <v>2104736</v>
      </c>
      <c r="F45" s="10">
        <v>13030</v>
      </c>
      <c r="G45" s="10">
        <v>48718.784390000001</v>
      </c>
      <c r="H45" s="10">
        <v>6898</v>
      </c>
      <c r="I45" s="10">
        <v>53435.508600000001</v>
      </c>
      <c r="J45" s="10">
        <v>0</v>
      </c>
      <c r="K45" s="10">
        <v>0</v>
      </c>
      <c r="L45" s="10">
        <f t="shared" si="0"/>
        <v>19928</v>
      </c>
      <c r="M45" s="10">
        <f t="shared" si="1"/>
        <v>102154.29299</v>
      </c>
      <c r="N45" s="10">
        <v>714872</v>
      </c>
      <c r="O45" s="10">
        <v>1043552.10546</v>
      </c>
      <c r="P45" s="10">
        <v>291572</v>
      </c>
      <c r="Q45" s="10">
        <v>472731.09049999999</v>
      </c>
      <c r="R45" s="10">
        <v>451</v>
      </c>
      <c r="S45" s="10">
        <v>6645.317</v>
      </c>
      <c r="T45" s="27">
        <f t="shared" si="2"/>
        <v>1006895</v>
      </c>
      <c r="U45" s="27">
        <f t="shared" si="3"/>
        <v>1522928.51296</v>
      </c>
    </row>
    <row r="46" spans="1:21" x14ac:dyDescent="0.25">
      <c r="B46" s="8">
        <v>38</v>
      </c>
      <c r="C46" s="9" t="s">
        <v>50</v>
      </c>
      <c r="D46" s="10">
        <v>0</v>
      </c>
      <c r="E46" s="10">
        <v>118513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f t="shared" si="0"/>
        <v>0</v>
      </c>
      <c r="M46" s="10">
        <f t="shared" si="1"/>
        <v>0</v>
      </c>
      <c r="N46" s="10">
        <v>64006</v>
      </c>
      <c r="O46" s="10">
        <v>160703.99499999973</v>
      </c>
      <c r="P46" s="10">
        <v>34738</v>
      </c>
      <c r="Q46" s="10">
        <v>86216.663659999991</v>
      </c>
      <c r="R46" s="10">
        <v>0</v>
      </c>
      <c r="S46" s="10">
        <v>0</v>
      </c>
      <c r="T46" s="27">
        <f t="shared" si="2"/>
        <v>98744</v>
      </c>
      <c r="U46" s="27">
        <f t="shared" si="3"/>
        <v>246920.65865999972</v>
      </c>
    </row>
    <row r="47" spans="1:21" x14ac:dyDescent="0.25">
      <c r="B47" s="8">
        <v>39</v>
      </c>
      <c r="C47" s="9" t="s">
        <v>51</v>
      </c>
      <c r="D47" s="10">
        <v>760575</v>
      </c>
      <c r="E47" s="10">
        <v>522803</v>
      </c>
      <c r="F47" s="10">
        <v>632672</v>
      </c>
      <c r="G47" s="10">
        <v>3531058.1982199997</v>
      </c>
      <c r="H47" s="10">
        <v>1134108</v>
      </c>
      <c r="I47" s="10">
        <v>3958680.6675</v>
      </c>
      <c r="J47" s="10">
        <v>0</v>
      </c>
      <c r="K47" s="10">
        <v>0</v>
      </c>
      <c r="L47" s="10">
        <f t="shared" si="0"/>
        <v>1766780</v>
      </c>
      <c r="M47" s="10">
        <f t="shared" si="1"/>
        <v>7489738.8657200001</v>
      </c>
      <c r="N47" s="10">
        <v>404764</v>
      </c>
      <c r="O47" s="10">
        <v>1116481.56941</v>
      </c>
      <c r="P47" s="10">
        <v>0</v>
      </c>
      <c r="Q47" s="10">
        <v>0</v>
      </c>
      <c r="R47" s="10">
        <v>0</v>
      </c>
      <c r="S47" s="10">
        <v>0</v>
      </c>
      <c r="T47" s="27">
        <f t="shared" si="2"/>
        <v>404764</v>
      </c>
      <c r="U47" s="27">
        <f t="shared" si="3"/>
        <v>1116481.56941</v>
      </c>
    </row>
    <row r="48" spans="1:21" x14ac:dyDescent="0.25">
      <c r="A48" s="1" t="s">
        <v>52</v>
      </c>
      <c r="B48" s="8">
        <v>40</v>
      </c>
      <c r="C48" s="9" t="s">
        <v>53</v>
      </c>
      <c r="D48" s="12">
        <v>896538</v>
      </c>
      <c r="E48" s="12">
        <v>81778</v>
      </c>
      <c r="F48" s="12">
        <v>338592</v>
      </c>
      <c r="G48" s="12">
        <v>1306156.696</v>
      </c>
      <c r="H48" s="12">
        <v>1110627</v>
      </c>
      <c r="I48" s="12">
        <v>4116362.9470000002</v>
      </c>
      <c r="J48" s="12">
        <v>0</v>
      </c>
      <c r="K48" s="12">
        <v>0</v>
      </c>
      <c r="L48" s="10">
        <f t="shared" si="0"/>
        <v>1449219</v>
      </c>
      <c r="M48" s="10">
        <f t="shared" si="1"/>
        <v>5422519.6430000002</v>
      </c>
      <c r="N48" s="12">
        <v>3728</v>
      </c>
      <c r="O48" s="12">
        <v>7188.3090000000002</v>
      </c>
      <c r="P48" s="12">
        <v>9513</v>
      </c>
      <c r="Q48" s="12">
        <v>18325.291000000001</v>
      </c>
      <c r="R48" s="12">
        <v>0</v>
      </c>
      <c r="S48" s="12">
        <v>0</v>
      </c>
      <c r="T48" s="27">
        <f t="shared" si="2"/>
        <v>13241</v>
      </c>
      <c r="U48" s="27">
        <f t="shared" si="3"/>
        <v>25513.600000000002</v>
      </c>
    </row>
    <row r="49" spans="1:21" x14ac:dyDescent="0.25">
      <c r="B49" s="8">
        <v>41</v>
      </c>
      <c r="C49" s="7" t="s">
        <v>54</v>
      </c>
      <c r="D49" s="10">
        <v>1328773</v>
      </c>
      <c r="E49" s="10">
        <v>1121344</v>
      </c>
      <c r="F49" s="10">
        <v>1812644</v>
      </c>
      <c r="G49" s="10">
        <v>5531866.8700000001</v>
      </c>
      <c r="H49" s="10">
        <v>1510611</v>
      </c>
      <c r="I49" s="10">
        <v>6553706.9069999997</v>
      </c>
      <c r="J49" s="10">
        <v>0</v>
      </c>
      <c r="K49" s="10">
        <v>0</v>
      </c>
      <c r="L49" s="10">
        <f t="shared" si="0"/>
        <v>3323255</v>
      </c>
      <c r="M49" s="10">
        <f t="shared" si="1"/>
        <v>12085573.776999999</v>
      </c>
      <c r="N49" s="10">
        <v>901177</v>
      </c>
      <c r="O49" s="10">
        <v>2306435.5649999999</v>
      </c>
      <c r="P49" s="10">
        <v>677216</v>
      </c>
      <c r="Q49" s="10">
        <v>1139290.3659999999</v>
      </c>
      <c r="R49" s="10">
        <v>30</v>
      </c>
      <c r="S49" s="10">
        <v>942.41899999999998</v>
      </c>
      <c r="T49" s="27">
        <f t="shared" si="2"/>
        <v>1578423</v>
      </c>
      <c r="U49" s="27">
        <f t="shared" si="3"/>
        <v>3446668.3499999996</v>
      </c>
    </row>
    <row r="50" spans="1:21" s="15" customFormat="1" x14ac:dyDescent="0.25">
      <c r="A50" s="13"/>
      <c r="B50" s="16" t="s">
        <v>55</v>
      </c>
      <c r="C50" s="16"/>
      <c r="D50" s="14">
        <f>SUM(D7:D49)</f>
        <v>76660857</v>
      </c>
      <c r="E50" s="14">
        <f>SUM(E7:E49)</f>
        <v>847871010</v>
      </c>
      <c r="F50" s="14">
        <f>SUM(F7:F49)</f>
        <v>121690882</v>
      </c>
      <c r="G50" s="14">
        <f>SUM(G7:G49)</f>
        <v>421001061.84045994</v>
      </c>
      <c r="H50" s="14">
        <f>SUM(H7:H49)</f>
        <v>115530240</v>
      </c>
      <c r="I50" s="14">
        <f>SUM(I7:I49)</f>
        <v>712371824.7474196</v>
      </c>
      <c r="J50" s="14">
        <f>SUM(J7:J49)</f>
        <v>14</v>
      </c>
      <c r="K50" s="14">
        <f>SUM(K7:K49)</f>
        <v>79.978999999999999</v>
      </c>
      <c r="L50" s="26">
        <f t="shared" si="0"/>
        <v>237221136</v>
      </c>
      <c r="M50" s="26">
        <f t="shared" si="1"/>
        <v>1133372966.5668795</v>
      </c>
      <c r="N50" s="14">
        <f>SUM(N7:N49)</f>
        <v>212585748</v>
      </c>
      <c r="O50" s="14">
        <f>SUM(O7:O49)</f>
        <v>438989664.88976008</v>
      </c>
      <c r="P50" s="14">
        <f>SUM(P7:P49)</f>
        <v>113250270</v>
      </c>
      <c r="Q50" s="14">
        <f>SUM(Q7:Q49)</f>
        <v>205883790.69991994</v>
      </c>
      <c r="R50" s="14">
        <f>SUM(R7:R49)</f>
        <v>664908</v>
      </c>
      <c r="S50" s="14">
        <f>SUM(S7:S49)</f>
        <v>5479830.3725799993</v>
      </c>
      <c r="T50" s="28">
        <f t="shared" si="2"/>
        <v>326500926</v>
      </c>
      <c r="U50" s="28">
        <f t="shared" si="3"/>
        <v>650353285.96226001</v>
      </c>
    </row>
  </sheetData>
  <mergeCells count="18">
    <mergeCell ref="F2:M2"/>
    <mergeCell ref="F3:M3"/>
    <mergeCell ref="T4:U4"/>
    <mergeCell ref="N2:U2"/>
    <mergeCell ref="N3:U3"/>
    <mergeCell ref="B2:B5"/>
    <mergeCell ref="C2:C5"/>
    <mergeCell ref="D2:E2"/>
    <mergeCell ref="D3:D5"/>
    <mergeCell ref="E3:E5"/>
    <mergeCell ref="F4:G4"/>
    <mergeCell ref="H4:I4"/>
    <mergeCell ref="J4:K4"/>
    <mergeCell ref="L4:M4"/>
    <mergeCell ref="N4:O4"/>
    <mergeCell ref="P4:Q4"/>
    <mergeCell ref="R4:S4"/>
    <mergeCell ref="B50:C50"/>
  </mergeCells>
  <pageMargins left="0.02" right="0.02" top="0.02" bottom="0" header="0.01" footer="0"/>
  <pageSetup scale="4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2022 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Singh</dc:creator>
  <cp:lastModifiedBy>Manas</cp:lastModifiedBy>
  <cp:lastPrinted>2022-09-26T13:37:31Z</cp:lastPrinted>
  <dcterms:created xsi:type="dcterms:W3CDTF">2022-07-22T05:10:47Z</dcterms:created>
  <dcterms:modified xsi:type="dcterms:W3CDTF">2023-07-18T15:35:43Z</dcterms:modified>
</cp:coreProperties>
</file>