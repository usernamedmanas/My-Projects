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D63D2C59-2B3F-41D5-B8D2-550C66768B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vember 2022 (Revised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U6" i="1"/>
  <c r="T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6" i="1"/>
  <c r="L6" i="1"/>
  <c r="S51" i="1"/>
  <c r="R51" i="1"/>
  <c r="Q51" i="1"/>
  <c r="P51" i="1"/>
  <c r="O51" i="1"/>
  <c r="N51" i="1"/>
  <c r="K51" i="1"/>
  <c r="J51" i="1"/>
  <c r="I51" i="1"/>
  <c r="H51" i="1"/>
  <c r="G51" i="1"/>
  <c r="F51" i="1"/>
  <c r="E51" i="1"/>
  <c r="D51" i="1"/>
</calcChain>
</file>

<file path=xl/sharedStrings.xml><?xml version="1.0" encoding="utf-8"?>
<sst xmlns="http://schemas.openxmlformats.org/spreadsheetml/2006/main" count="78" uniqueCount="58">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</sst>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4" fillId="2" borderId="4" xfId="0" applyFont="1" applyFill="1" applyBorder="1" applyAlignment="1">
      <alignment vertical="center"/>
    </xf>
    <xf numFmtId="1" fontId="5" fillId="2" borderId="4" xfId="0" applyNumberFormat="1" applyFont="1" applyFill="1" applyBorder="1"/>
    <xf numFmtId="1" fontId="4" fillId="2" borderId="4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 applyProtection="1">
      <alignment vertical="center" wrapText="1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4" xfId="0" applyFont="1" applyFill="1" applyBorder="1" applyProtection="1">
      <protection locked="0"/>
    </xf>
    <xf numFmtId="0" fontId="7" fillId="2" borderId="4" xfId="2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1" fontId="2" fillId="2" borderId="4" xfId="0" applyNumberFormat="1" applyFont="1" applyFill="1" applyBorder="1"/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6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1" fontId="4" fillId="2" borderId="4" xfId="0" applyNumberFormat="1" applyFont="1" applyFill="1" applyBorder="1"/>
    <xf numFmtId="1" fontId="5" fillId="2" borderId="0" xfId="0" applyNumberFormat="1" applyFont="1" applyFill="1"/>
    <xf numFmtId="1" fontId="4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52"/>
  <sheetViews>
    <sheetView tabSelected="1" zoomScale="85" zoomScaleNormal="85" workbookViewId="0">
      <pane xSplit="3" ySplit="4" topLeftCell="D5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T18" sqref="T18:U18"/>
    </sheetView>
  </sheetViews>
  <sheetFormatPr defaultColWidth="8.88671875" defaultRowHeight="13.2" x14ac:dyDescent="0.25"/>
  <cols>
    <col min="1" max="1" width="3.109375" style="5" bestFit="1" customWidth="1"/>
    <col min="2" max="2" width="5.109375" style="6" customWidth="1"/>
    <col min="3" max="3" width="39.5546875" style="6" customWidth="1"/>
    <col min="4" max="4" width="9" style="6" customWidth="1"/>
    <col min="5" max="5" width="10.6640625" style="6" customWidth="1"/>
    <col min="6" max="7" width="10.33203125" style="6" bestFit="1" customWidth="1"/>
    <col min="8" max="8" width="10" style="6" customWidth="1"/>
    <col min="9" max="9" width="10.33203125" style="6" bestFit="1" customWidth="1"/>
    <col min="10" max="10" width="8.44140625" style="6" customWidth="1"/>
    <col min="11" max="11" width="7.44140625" style="6" customWidth="1"/>
    <col min="12" max="12" width="11.21875" style="6" customWidth="1"/>
    <col min="13" max="13" width="12.109375" style="6" customWidth="1"/>
    <col min="14" max="14" width="10" style="6" bestFit="1" customWidth="1"/>
    <col min="15" max="15" width="12" style="6" bestFit="1" customWidth="1"/>
    <col min="16" max="16" width="9.6640625" style="6" customWidth="1"/>
    <col min="17" max="17" width="10.44140625" style="6" customWidth="1"/>
    <col min="18" max="18" width="8.44140625" style="6" customWidth="1"/>
    <col min="19" max="19" width="8.5546875" style="6" customWidth="1"/>
    <col min="20" max="20" width="12.33203125" style="6" customWidth="1"/>
    <col min="21" max="21" width="12" style="6" customWidth="1"/>
    <col min="22" max="16384" width="8.88671875" style="6"/>
  </cols>
  <sheetData>
    <row r="1" spans="1:21" x14ac:dyDescent="0.25">
      <c r="B1" s="23"/>
      <c r="C1" s="24"/>
      <c r="D1" s="23"/>
      <c r="E1" s="23"/>
      <c r="F1" s="25" t="s">
        <v>0</v>
      </c>
      <c r="G1" s="26"/>
      <c r="H1" s="26"/>
      <c r="I1" s="26"/>
      <c r="J1" s="26"/>
      <c r="K1" s="26"/>
      <c r="L1" s="26"/>
      <c r="M1" s="27"/>
      <c r="N1" s="30" t="s">
        <v>1</v>
      </c>
      <c r="O1" s="31"/>
      <c r="P1" s="31"/>
      <c r="Q1" s="31"/>
      <c r="R1" s="31"/>
      <c r="S1" s="31"/>
      <c r="T1" s="31"/>
      <c r="U1" s="31"/>
    </row>
    <row r="2" spans="1:21" x14ac:dyDescent="0.25">
      <c r="B2" s="23"/>
      <c r="C2" s="24"/>
      <c r="D2" s="23" t="s">
        <v>2</v>
      </c>
      <c r="E2" s="23" t="s">
        <v>3</v>
      </c>
      <c r="F2" s="25" t="s">
        <v>4</v>
      </c>
      <c r="G2" s="26"/>
      <c r="H2" s="26"/>
      <c r="I2" s="26"/>
      <c r="J2" s="26"/>
      <c r="K2" s="26"/>
      <c r="L2" s="26"/>
      <c r="M2" s="27"/>
      <c r="N2" s="28" t="s">
        <v>4</v>
      </c>
      <c r="O2" s="29"/>
      <c r="P2" s="29"/>
      <c r="Q2" s="29"/>
      <c r="R2" s="29"/>
      <c r="S2" s="29"/>
      <c r="T2" s="29"/>
      <c r="U2" s="29"/>
    </row>
    <row r="3" spans="1:21" ht="18.75" customHeight="1" x14ac:dyDescent="0.25">
      <c r="B3" s="23"/>
      <c r="C3" s="24"/>
      <c r="D3" s="23"/>
      <c r="E3" s="23"/>
      <c r="F3" s="23" t="s">
        <v>5</v>
      </c>
      <c r="G3" s="23"/>
      <c r="H3" s="23" t="s">
        <v>6</v>
      </c>
      <c r="I3" s="23"/>
      <c r="J3" s="24" t="s">
        <v>7</v>
      </c>
      <c r="K3" s="24"/>
      <c r="L3" s="25" t="s">
        <v>57</v>
      </c>
      <c r="M3" s="27"/>
      <c r="N3" s="23" t="s">
        <v>5</v>
      </c>
      <c r="O3" s="23"/>
      <c r="P3" s="23" t="s">
        <v>6</v>
      </c>
      <c r="Q3" s="23"/>
      <c r="R3" s="24" t="s">
        <v>7</v>
      </c>
      <c r="S3" s="24"/>
      <c r="T3" s="25" t="s">
        <v>57</v>
      </c>
      <c r="U3" s="27"/>
    </row>
    <row r="4" spans="1:21" s="13" customFormat="1" ht="52.8" x14ac:dyDescent="0.3">
      <c r="A4" s="12"/>
      <c r="B4" s="23"/>
      <c r="C4" s="24"/>
      <c r="D4" s="23"/>
      <c r="E4" s="23"/>
      <c r="F4" s="8" t="s">
        <v>8</v>
      </c>
      <c r="G4" s="8" t="s">
        <v>9</v>
      </c>
      <c r="H4" s="8" t="s">
        <v>8</v>
      </c>
      <c r="I4" s="8" t="s">
        <v>9</v>
      </c>
      <c r="J4" s="8" t="s">
        <v>8</v>
      </c>
      <c r="K4" s="8" t="s">
        <v>9</v>
      </c>
      <c r="L4" s="8" t="s">
        <v>8</v>
      </c>
      <c r="M4" s="8" t="s">
        <v>9</v>
      </c>
      <c r="N4" s="8" t="s">
        <v>8</v>
      </c>
      <c r="O4" s="8" t="s">
        <v>9</v>
      </c>
      <c r="P4" s="8" t="s">
        <v>8</v>
      </c>
      <c r="Q4" s="8" t="s">
        <v>9</v>
      </c>
      <c r="R4" s="8" t="s">
        <v>8</v>
      </c>
      <c r="S4" s="8" t="s">
        <v>9</v>
      </c>
      <c r="T4" s="8" t="s">
        <v>8</v>
      </c>
      <c r="U4" s="8" t="s">
        <v>9</v>
      </c>
    </row>
    <row r="5" spans="1:21" x14ac:dyDescent="0.25">
      <c r="B5" s="20" t="s">
        <v>10</v>
      </c>
      <c r="C5" s="2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1" x14ac:dyDescent="0.25">
      <c r="B6" s="9">
        <v>1</v>
      </c>
      <c r="C6" s="10" t="s">
        <v>11</v>
      </c>
      <c r="D6" s="2">
        <v>1638457</v>
      </c>
      <c r="E6" s="2">
        <v>79475125</v>
      </c>
      <c r="F6" s="2">
        <v>1905325</v>
      </c>
      <c r="G6" s="2">
        <v>6065404.2850000001</v>
      </c>
      <c r="H6" s="2">
        <v>1883937</v>
      </c>
      <c r="I6" s="2">
        <v>9684263.6190000009</v>
      </c>
      <c r="J6" s="2">
        <v>0</v>
      </c>
      <c r="K6" s="2">
        <v>0</v>
      </c>
      <c r="L6" s="2">
        <f>J6+H6+F6</f>
        <v>3789262</v>
      </c>
      <c r="M6" s="2">
        <f>K6+I6+G6</f>
        <v>15749667.904000001</v>
      </c>
      <c r="N6" s="2">
        <v>6731379</v>
      </c>
      <c r="O6" s="2">
        <v>13106385.671</v>
      </c>
      <c r="P6" s="2">
        <v>2550483</v>
      </c>
      <c r="Q6" s="2">
        <v>5616412.0820000004</v>
      </c>
      <c r="R6" s="2">
        <v>8</v>
      </c>
      <c r="S6" s="2">
        <v>13.222</v>
      </c>
      <c r="T6" s="33">
        <f>R6+P6+N6</f>
        <v>9281870</v>
      </c>
      <c r="U6" s="33">
        <f>S6+Q6+O6</f>
        <v>18722810.975000001</v>
      </c>
    </row>
    <row r="7" spans="1:21" x14ac:dyDescent="0.25">
      <c r="B7" s="9">
        <v>2</v>
      </c>
      <c r="C7" s="10" t="s">
        <v>12</v>
      </c>
      <c r="D7" s="2">
        <v>86053</v>
      </c>
      <c r="E7" s="2">
        <v>46304287</v>
      </c>
      <c r="F7" s="2">
        <v>141234</v>
      </c>
      <c r="G7" s="2">
        <v>496226.10719999997</v>
      </c>
      <c r="H7" s="2">
        <v>74320</v>
      </c>
      <c r="I7" s="2">
        <v>259139.87341</v>
      </c>
      <c r="J7" s="2">
        <v>0</v>
      </c>
      <c r="K7" s="2">
        <v>0</v>
      </c>
      <c r="L7" s="2">
        <f t="shared" ref="L7:L51" si="0">J7+H7+F7</f>
        <v>215554</v>
      </c>
      <c r="M7" s="2">
        <f t="shared" ref="M7:M51" si="1">K7+I7+G7</f>
        <v>755365.98060999997</v>
      </c>
      <c r="N7" s="2">
        <v>4486467</v>
      </c>
      <c r="O7" s="2">
        <v>7768728.8052500002</v>
      </c>
      <c r="P7" s="2">
        <v>1698578</v>
      </c>
      <c r="Q7" s="2">
        <v>2577372.1800000002</v>
      </c>
      <c r="R7" s="2">
        <v>0</v>
      </c>
      <c r="S7" s="2">
        <v>0</v>
      </c>
      <c r="T7" s="33">
        <f t="shared" ref="T7:T51" si="2">R7+P7+N7</f>
        <v>6185045</v>
      </c>
      <c r="U7" s="33">
        <f t="shared" ref="U7:U51" si="3">S7+Q7+O7</f>
        <v>10346100.98525</v>
      </c>
    </row>
    <row r="8" spans="1:21" x14ac:dyDescent="0.25">
      <c r="B8" s="9">
        <v>3</v>
      </c>
      <c r="C8" s="11" t="s">
        <v>13</v>
      </c>
      <c r="D8" s="2">
        <v>77461</v>
      </c>
      <c r="E8" s="2">
        <v>13170703</v>
      </c>
      <c r="F8" s="2">
        <v>60219</v>
      </c>
      <c r="G8" s="2">
        <v>238391.98326001602</v>
      </c>
      <c r="H8" s="2">
        <v>22563</v>
      </c>
      <c r="I8" s="2">
        <v>117041.32135999801</v>
      </c>
      <c r="J8" s="2">
        <v>0</v>
      </c>
      <c r="K8" s="2">
        <v>0</v>
      </c>
      <c r="L8" s="2">
        <f t="shared" si="0"/>
        <v>82782</v>
      </c>
      <c r="M8" s="2">
        <f t="shared" si="1"/>
        <v>355433.30462001404</v>
      </c>
      <c r="N8" s="2">
        <v>2016223</v>
      </c>
      <c r="O8" s="2">
        <v>3109398.074</v>
      </c>
      <c r="P8" s="2">
        <v>786911</v>
      </c>
      <c r="Q8" s="2">
        <v>1119621.05595</v>
      </c>
      <c r="R8" s="2">
        <v>8115</v>
      </c>
      <c r="S8" s="2">
        <v>91968.970939999999</v>
      </c>
      <c r="T8" s="33">
        <f t="shared" si="2"/>
        <v>2811249</v>
      </c>
      <c r="U8" s="33">
        <f t="shared" si="3"/>
        <v>4320988.1008899994</v>
      </c>
    </row>
    <row r="9" spans="1:21" x14ac:dyDescent="0.25">
      <c r="B9" s="9">
        <v>4</v>
      </c>
      <c r="C9" s="10" t="s">
        <v>14</v>
      </c>
      <c r="D9" s="2">
        <v>593845</v>
      </c>
      <c r="E9" s="2">
        <v>48645220</v>
      </c>
      <c r="F9" s="2">
        <v>695017</v>
      </c>
      <c r="G9" s="2">
        <v>1859504.0009999999</v>
      </c>
      <c r="H9" s="2">
        <v>274764</v>
      </c>
      <c r="I9" s="2">
        <v>1039531.556</v>
      </c>
      <c r="J9" s="2">
        <v>0</v>
      </c>
      <c r="K9" s="2">
        <v>0</v>
      </c>
      <c r="L9" s="2">
        <f t="shared" si="0"/>
        <v>969781</v>
      </c>
      <c r="M9" s="2">
        <f t="shared" si="1"/>
        <v>2899035.557</v>
      </c>
      <c r="N9" s="2">
        <v>8706471</v>
      </c>
      <c r="O9" s="2">
        <v>17560116.162999999</v>
      </c>
      <c r="P9" s="2">
        <v>2881572</v>
      </c>
      <c r="Q9" s="2">
        <v>5567323.307</v>
      </c>
      <c r="R9" s="2">
        <v>5073</v>
      </c>
      <c r="S9" s="2">
        <v>79625.86</v>
      </c>
      <c r="T9" s="33">
        <f t="shared" si="2"/>
        <v>11593116</v>
      </c>
      <c r="U9" s="33">
        <f t="shared" si="3"/>
        <v>23207065.329999998</v>
      </c>
    </row>
    <row r="10" spans="1:21" x14ac:dyDescent="0.25">
      <c r="B10" s="9">
        <v>5</v>
      </c>
      <c r="C10" s="10" t="s">
        <v>15</v>
      </c>
      <c r="D10" s="2">
        <v>0</v>
      </c>
      <c r="E10" s="2">
        <v>27727499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f t="shared" si="0"/>
        <v>0</v>
      </c>
      <c r="M10" s="2">
        <f t="shared" si="1"/>
        <v>0</v>
      </c>
      <c r="N10" s="2">
        <v>2910169</v>
      </c>
      <c r="O10" s="2">
        <v>6248318.2860000003</v>
      </c>
      <c r="P10" s="2">
        <v>590850</v>
      </c>
      <c r="Q10" s="2">
        <v>1206665.868</v>
      </c>
      <c r="R10" s="2">
        <v>0</v>
      </c>
      <c r="S10" s="2">
        <v>0</v>
      </c>
      <c r="T10" s="33">
        <f t="shared" si="2"/>
        <v>3501019</v>
      </c>
      <c r="U10" s="33">
        <f t="shared" si="3"/>
        <v>7454984.1540000001</v>
      </c>
    </row>
    <row r="11" spans="1:21" x14ac:dyDescent="0.25">
      <c r="B11" s="9">
        <v>6</v>
      </c>
      <c r="C11" s="10" t="s">
        <v>16</v>
      </c>
      <c r="D11" s="2">
        <v>161962</v>
      </c>
      <c r="E11" s="2">
        <v>28928653</v>
      </c>
      <c r="F11" s="2">
        <v>129080</v>
      </c>
      <c r="G11" s="2">
        <v>434387.65</v>
      </c>
      <c r="H11" s="2">
        <v>65266</v>
      </c>
      <c r="I11" s="2">
        <v>285284.34700000001</v>
      </c>
      <c r="J11" s="2">
        <v>0</v>
      </c>
      <c r="K11" s="2">
        <v>0</v>
      </c>
      <c r="L11" s="2">
        <f t="shared" si="0"/>
        <v>194346</v>
      </c>
      <c r="M11" s="2">
        <f t="shared" si="1"/>
        <v>719671.99699999997</v>
      </c>
      <c r="N11" s="2">
        <v>4933901</v>
      </c>
      <c r="O11" s="2">
        <v>9171721.8399999999</v>
      </c>
      <c r="P11" s="2">
        <v>2099937</v>
      </c>
      <c r="Q11" s="2">
        <v>3469949.142</v>
      </c>
      <c r="R11" s="2">
        <v>4812</v>
      </c>
      <c r="S11" s="2">
        <v>70801.461900000009</v>
      </c>
      <c r="T11" s="33">
        <f t="shared" si="2"/>
        <v>7038650</v>
      </c>
      <c r="U11" s="33">
        <f t="shared" si="3"/>
        <v>12712472.4439</v>
      </c>
    </row>
    <row r="12" spans="1:21" x14ac:dyDescent="0.25">
      <c r="B12" s="9">
        <v>7</v>
      </c>
      <c r="C12" s="10" t="s">
        <v>17</v>
      </c>
      <c r="D12" s="2">
        <v>74221</v>
      </c>
      <c r="E12" s="2">
        <v>15742911</v>
      </c>
      <c r="F12" s="2">
        <v>65518</v>
      </c>
      <c r="G12" s="2">
        <v>165473.21599</v>
      </c>
      <c r="H12" s="2">
        <v>25847</v>
      </c>
      <c r="I12" s="2">
        <v>69393.359370000006</v>
      </c>
      <c r="J12" s="2">
        <v>0</v>
      </c>
      <c r="K12" s="2">
        <v>0</v>
      </c>
      <c r="L12" s="2">
        <f t="shared" si="0"/>
        <v>91365</v>
      </c>
      <c r="M12" s="2">
        <f t="shared" si="1"/>
        <v>234866.57536000002</v>
      </c>
      <c r="N12" s="2">
        <v>3259491</v>
      </c>
      <c r="O12" s="2">
        <v>5848055.4401400005</v>
      </c>
      <c r="P12" s="2">
        <v>950418</v>
      </c>
      <c r="Q12" s="2">
        <v>1658065.79538</v>
      </c>
      <c r="R12" s="2">
        <v>0</v>
      </c>
      <c r="S12" s="2">
        <v>0</v>
      </c>
      <c r="T12" s="33">
        <f t="shared" si="2"/>
        <v>4209909</v>
      </c>
      <c r="U12" s="33">
        <f t="shared" si="3"/>
        <v>7506121.2355200006</v>
      </c>
    </row>
    <row r="13" spans="1:21" x14ac:dyDescent="0.25">
      <c r="B13" s="9">
        <v>8</v>
      </c>
      <c r="C13" s="10" t="s">
        <v>18</v>
      </c>
      <c r="D13" s="2">
        <v>0</v>
      </c>
      <c r="E13" s="2">
        <v>3591183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f t="shared" si="0"/>
        <v>0</v>
      </c>
      <c r="M13" s="2">
        <f t="shared" si="1"/>
        <v>0</v>
      </c>
      <c r="N13" s="2">
        <v>666098</v>
      </c>
      <c r="O13" s="2">
        <v>1528972.1463299999</v>
      </c>
      <c r="P13" s="2">
        <v>119026</v>
      </c>
      <c r="Q13" s="2">
        <v>401136.24460999999</v>
      </c>
      <c r="R13" s="2">
        <v>0</v>
      </c>
      <c r="S13" s="2">
        <v>0</v>
      </c>
      <c r="T13" s="33">
        <f t="shared" si="2"/>
        <v>785124</v>
      </c>
      <c r="U13" s="33">
        <f t="shared" si="3"/>
        <v>1930108.3909399998</v>
      </c>
    </row>
    <row r="14" spans="1:21" x14ac:dyDescent="0.25">
      <c r="B14" s="9">
        <v>9</v>
      </c>
      <c r="C14" s="10" t="s">
        <v>19</v>
      </c>
      <c r="D14" s="2">
        <v>311721</v>
      </c>
      <c r="E14" s="2">
        <v>40767384</v>
      </c>
      <c r="F14" s="2">
        <v>466599</v>
      </c>
      <c r="G14" s="2">
        <v>1533499.3939200002</v>
      </c>
      <c r="H14" s="2">
        <v>191000</v>
      </c>
      <c r="I14" s="2">
        <v>689227.45498000004</v>
      </c>
      <c r="J14" s="2">
        <v>0</v>
      </c>
      <c r="K14" s="2">
        <v>0</v>
      </c>
      <c r="L14" s="2">
        <f t="shared" si="0"/>
        <v>657599</v>
      </c>
      <c r="M14" s="2">
        <f t="shared" si="1"/>
        <v>2222726.8489000001</v>
      </c>
      <c r="N14" s="2">
        <v>7244998</v>
      </c>
      <c r="O14" s="2">
        <v>15930284.965329999</v>
      </c>
      <c r="P14" s="2">
        <v>3742196</v>
      </c>
      <c r="Q14" s="2">
        <v>6651928.2674500002</v>
      </c>
      <c r="R14" s="2">
        <v>0</v>
      </c>
      <c r="S14" s="2">
        <v>0</v>
      </c>
      <c r="T14" s="33">
        <f t="shared" si="2"/>
        <v>10987194</v>
      </c>
      <c r="U14" s="33">
        <f t="shared" si="3"/>
        <v>22582213.232779998</v>
      </c>
    </row>
    <row r="15" spans="1:21" x14ac:dyDescent="0.25">
      <c r="B15" s="9">
        <v>10</v>
      </c>
      <c r="C15" s="10" t="s">
        <v>20</v>
      </c>
      <c r="D15" s="2">
        <v>15555633</v>
      </c>
      <c r="E15" s="2">
        <v>278356488</v>
      </c>
      <c r="F15" s="2">
        <v>24404384</v>
      </c>
      <c r="G15" s="2">
        <v>71741335.395999998</v>
      </c>
      <c r="H15" s="2">
        <v>17666810</v>
      </c>
      <c r="I15" s="2">
        <v>138272288.97</v>
      </c>
      <c r="J15" s="2">
        <v>0</v>
      </c>
      <c r="K15" s="2">
        <v>0</v>
      </c>
      <c r="L15" s="2">
        <f t="shared" si="0"/>
        <v>42071194</v>
      </c>
      <c r="M15" s="2">
        <f t="shared" si="1"/>
        <v>210013624.366</v>
      </c>
      <c r="N15" s="2">
        <v>51962428</v>
      </c>
      <c r="O15" s="2">
        <v>105469449.00928</v>
      </c>
      <c r="P15" s="2">
        <v>22622135</v>
      </c>
      <c r="Q15" s="2">
        <v>41265467.564000003</v>
      </c>
      <c r="R15" s="2">
        <v>1812</v>
      </c>
      <c r="S15" s="2">
        <v>25718.15437</v>
      </c>
      <c r="T15" s="33">
        <f t="shared" si="2"/>
        <v>74586375</v>
      </c>
      <c r="U15" s="33">
        <f t="shared" si="3"/>
        <v>146760634.72764999</v>
      </c>
    </row>
    <row r="16" spans="1:21" x14ac:dyDescent="0.25">
      <c r="B16" s="9">
        <v>11</v>
      </c>
      <c r="C16" s="10" t="s">
        <v>21</v>
      </c>
      <c r="D16" s="2">
        <v>0</v>
      </c>
      <c r="E16" s="2">
        <v>12069193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f t="shared" si="0"/>
        <v>0</v>
      </c>
      <c r="M16" s="2">
        <f t="shared" si="1"/>
        <v>0</v>
      </c>
      <c r="N16" s="2">
        <v>2075807</v>
      </c>
      <c r="O16" s="2">
        <v>3811104.9270000001</v>
      </c>
      <c r="P16" s="2">
        <v>473301</v>
      </c>
      <c r="Q16" s="2">
        <v>1089831.56</v>
      </c>
      <c r="R16" s="2">
        <v>969</v>
      </c>
      <c r="S16" s="2">
        <v>15601.447</v>
      </c>
      <c r="T16" s="33">
        <f t="shared" si="2"/>
        <v>2550077</v>
      </c>
      <c r="U16" s="33">
        <f t="shared" si="3"/>
        <v>4916537.9340000004</v>
      </c>
    </row>
    <row r="17" spans="2:21" x14ac:dyDescent="0.25">
      <c r="B17" s="9">
        <v>12</v>
      </c>
      <c r="C17" s="10" t="s">
        <v>22</v>
      </c>
      <c r="D17" s="2">
        <v>554993</v>
      </c>
      <c r="E17" s="2">
        <v>50684814</v>
      </c>
      <c r="F17" s="2">
        <v>487396</v>
      </c>
      <c r="G17" s="2">
        <v>1590928.2560000001</v>
      </c>
      <c r="H17" s="2">
        <v>271443</v>
      </c>
      <c r="I17" s="2">
        <v>1059718.7960000001</v>
      </c>
      <c r="J17" s="2">
        <v>0</v>
      </c>
      <c r="K17" s="2">
        <v>0</v>
      </c>
      <c r="L17" s="2">
        <f t="shared" si="0"/>
        <v>758839</v>
      </c>
      <c r="M17" s="2">
        <f t="shared" si="1"/>
        <v>2650647.0520000001</v>
      </c>
      <c r="N17" s="2">
        <v>9115480</v>
      </c>
      <c r="O17" s="2">
        <v>15910085.137</v>
      </c>
      <c r="P17" s="2">
        <v>5459784</v>
      </c>
      <c r="Q17" s="2">
        <v>8827961.5669999998</v>
      </c>
      <c r="R17" s="2">
        <v>3090</v>
      </c>
      <c r="S17" s="2">
        <v>11708.054</v>
      </c>
      <c r="T17" s="33">
        <f t="shared" si="2"/>
        <v>14578354</v>
      </c>
      <c r="U17" s="33">
        <f t="shared" si="3"/>
        <v>24749754.758000001</v>
      </c>
    </row>
    <row r="18" spans="2:21" x14ac:dyDescent="0.25">
      <c r="B18" s="20" t="s">
        <v>23</v>
      </c>
      <c r="C18" s="21"/>
      <c r="D18" s="1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33"/>
      <c r="U18" s="33"/>
    </row>
    <row r="19" spans="2:21" x14ac:dyDescent="0.25">
      <c r="B19" s="9">
        <v>13</v>
      </c>
      <c r="C19" s="10" t="s">
        <v>24</v>
      </c>
      <c r="D19" s="2">
        <v>9294011</v>
      </c>
      <c r="E19" s="2">
        <v>28716921</v>
      </c>
      <c r="F19" s="2">
        <v>17477667</v>
      </c>
      <c r="G19" s="2">
        <v>53921065.57626</v>
      </c>
      <c r="H19" s="2">
        <v>11708221</v>
      </c>
      <c r="I19" s="2">
        <v>50384643.867009997</v>
      </c>
      <c r="J19" s="2">
        <v>0</v>
      </c>
      <c r="K19" s="2">
        <v>0</v>
      </c>
      <c r="L19" s="2">
        <f t="shared" si="0"/>
        <v>29185888</v>
      </c>
      <c r="M19" s="2">
        <f t="shared" si="1"/>
        <v>104305709.44327</v>
      </c>
      <c r="N19" s="2">
        <v>9592907</v>
      </c>
      <c r="O19" s="2">
        <v>22383617.513</v>
      </c>
      <c r="P19" s="2">
        <v>4133071</v>
      </c>
      <c r="Q19" s="2">
        <v>12728599.063999999</v>
      </c>
      <c r="R19" s="2">
        <v>18670</v>
      </c>
      <c r="S19" s="2">
        <v>459282.68919999996</v>
      </c>
      <c r="T19" s="33">
        <f t="shared" si="2"/>
        <v>13744648</v>
      </c>
      <c r="U19" s="33">
        <f t="shared" si="3"/>
        <v>35571499.266199999</v>
      </c>
    </row>
    <row r="20" spans="2:21" x14ac:dyDescent="0.25">
      <c r="B20" s="9">
        <v>14</v>
      </c>
      <c r="C20" s="10" t="s">
        <v>25</v>
      </c>
      <c r="D20" s="2">
        <v>0</v>
      </c>
      <c r="E20" s="2">
        <v>5288593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f t="shared" si="0"/>
        <v>0</v>
      </c>
      <c r="M20" s="2">
        <f t="shared" si="1"/>
        <v>0</v>
      </c>
      <c r="N20" s="2">
        <v>485765</v>
      </c>
      <c r="O20" s="2">
        <v>1161011.4180899996</v>
      </c>
      <c r="P20" s="2">
        <v>230431</v>
      </c>
      <c r="Q20" s="2">
        <v>630969.42062000022</v>
      </c>
      <c r="R20" s="2">
        <v>0</v>
      </c>
      <c r="S20" s="2">
        <v>0</v>
      </c>
      <c r="T20" s="33">
        <f t="shared" si="2"/>
        <v>716196</v>
      </c>
      <c r="U20" s="33">
        <f t="shared" si="3"/>
        <v>1791980.8387099998</v>
      </c>
    </row>
    <row r="21" spans="2:21" x14ac:dyDescent="0.25">
      <c r="B21" s="9">
        <v>15</v>
      </c>
      <c r="C21" s="10" t="s">
        <v>26</v>
      </c>
      <c r="D21" s="2">
        <v>1942</v>
      </c>
      <c r="E21" s="2">
        <v>2673773</v>
      </c>
      <c r="F21" s="2">
        <v>1678</v>
      </c>
      <c r="G21" s="2">
        <v>3411.06032</v>
      </c>
      <c r="H21" s="2">
        <v>451</v>
      </c>
      <c r="I21" s="2">
        <v>1819.70598</v>
      </c>
      <c r="J21" s="2">
        <v>0</v>
      </c>
      <c r="K21" s="2">
        <v>0</v>
      </c>
      <c r="L21" s="2">
        <f t="shared" si="0"/>
        <v>2129</v>
      </c>
      <c r="M21" s="2">
        <f t="shared" si="1"/>
        <v>5230.7663000000002</v>
      </c>
      <c r="N21" s="2">
        <v>776889</v>
      </c>
      <c r="O21" s="2">
        <v>1488179.09091</v>
      </c>
      <c r="P21" s="2">
        <v>128671</v>
      </c>
      <c r="Q21" s="2">
        <v>269982.93297000002</v>
      </c>
      <c r="R21" s="2">
        <v>0</v>
      </c>
      <c r="S21" s="2">
        <v>0</v>
      </c>
      <c r="T21" s="33">
        <f t="shared" si="2"/>
        <v>905560</v>
      </c>
      <c r="U21" s="33">
        <f t="shared" si="3"/>
        <v>1758162.02388</v>
      </c>
    </row>
    <row r="22" spans="2:21" x14ac:dyDescent="0.25">
      <c r="B22" s="9">
        <v>16</v>
      </c>
      <c r="C22" s="10" t="s">
        <v>27</v>
      </c>
      <c r="D22" s="2">
        <v>0</v>
      </c>
      <c r="E22" s="2">
        <v>854222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f t="shared" si="0"/>
        <v>0</v>
      </c>
      <c r="M22" s="2">
        <f t="shared" si="1"/>
        <v>0</v>
      </c>
      <c r="N22" s="2">
        <v>231125</v>
      </c>
      <c r="O22" s="2">
        <v>392185.54019999999</v>
      </c>
      <c r="P22" s="2">
        <v>34067</v>
      </c>
      <c r="Q22" s="2">
        <v>68857.436489999993</v>
      </c>
      <c r="R22" s="2">
        <v>12</v>
      </c>
      <c r="S22" s="2">
        <v>120</v>
      </c>
      <c r="T22" s="33">
        <f t="shared" si="2"/>
        <v>265204</v>
      </c>
      <c r="U22" s="33">
        <f t="shared" si="3"/>
        <v>461162.97668999998</v>
      </c>
    </row>
    <row r="23" spans="2:21" x14ac:dyDescent="0.25">
      <c r="B23" s="9">
        <v>17</v>
      </c>
      <c r="C23" s="10" t="s">
        <v>28</v>
      </c>
      <c r="D23" s="2">
        <v>0</v>
      </c>
      <c r="E23" s="2">
        <v>941387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f t="shared" si="0"/>
        <v>0</v>
      </c>
      <c r="M23" s="2">
        <f t="shared" si="1"/>
        <v>0</v>
      </c>
      <c r="N23" s="2">
        <v>145602</v>
      </c>
      <c r="O23" s="2">
        <v>340709.728</v>
      </c>
      <c r="P23" s="2">
        <v>31462</v>
      </c>
      <c r="Q23" s="2">
        <v>125894.659</v>
      </c>
      <c r="R23" s="2">
        <v>373</v>
      </c>
      <c r="S23" s="2">
        <v>11413.808000000001</v>
      </c>
      <c r="T23" s="33">
        <f t="shared" si="2"/>
        <v>177437</v>
      </c>
      <c r="U23" s="33">
        <f t="shared" si="3"/>
        <v>478018.19500000001</v>
      </c>
    </row>
    <row r="24" spans="2:21" x14ac:dyDescent="0.25">
      <c r="B24" s="9">
        <v>18</v>
      </c>
      <c r="C24" s="10" t="s">
        <v>29</v>
      </c>
      <c r="D24" s="2">
        <v>8434</v>
      </c>
      <c r="E24" s="2">
        <v>525552</v>
      </c>
      <c r="F24" s="2">
        <v>20316</v>
      </c>
      <c r="G24" s="2">
        <v>40638.937229999996</v>
      </c>
      <c r="H24" s="2">
        <v>5548</v>
      </c>
      <c r="I24" s="2">
        <v>18149.690760000001</v>
      </c>
      <c r="J24" s="2">
        <v>0</v>
      </c>
      <c r="K24" s="2">
        <v>0</v>
      </c>
      <c r="L24" s="2">
        <f t="shared" si="0"/>
        <v>25864</v>
      </c>
      <c r="M24" s="2">
        <f t="shared" si="1"/>
        <v>58788.627989999994</v>
      </c>
      <c r="N24" s="2">
        <v>241858</v>
      </c>
      <c r="O24" s="2">
        <v>373185.89932999999</v>
      </c>
      <c r="P24" s="2">
        <v>23485</v>
      </c>
      <c r="Q24" s="2">
        <v>55678.50086</v>
      </c>
      <c r="R24" s="2">
        <v>0</v>
      </c>
      <c r="S24" s="2">
        <v>0</v>
      </c>
      <c r="T24" s="33">
        <f t="shared" si="2"/>
        <v>265343</v>
      </c>
      <c r="U24" s="33">
        <f t="shared" si="3"/>
        <v>428864.40018999996</v>
      </c>
    </row>
    <row r="25" spans="2:21" x14ac:dyDescent="0.25">
      <c r="B25" s="9">
        <v>19</v>
      </c>
      <c r="C25" s="10" t="s">
        <v>30</v>
      </c>
      <c r="D25" s="2">
        <v>407760</v>
      </c>
      <c r="E25" s="2">
        <v>12575237</v>
      </c>
      <c r="F25" s="2">
        <v>835580</v>
      </c>
      <c r="G25" s="2">
        <v>2623851.9339999999</v>
      </c>
      <c r="H25" s="2">
        <v>853081</v>
      </c>
      <c r="I25" s="2">
        <v>4808479.92</v>
      </c>
      <c r="J25" s="2">
        <v>0</v>
      </c>
      <c r="K25" s="2">
        <v>0</v>
      </c>
      <c r="L25" s="2">
        <f t="shared" si="0"/>
        <v>1688661</v>
      </c>
      <c r="M25" s="2">
        <f t="shared" si="1"/>
        <v>7432331.8540000003</v>
      </c>
      <c r="N25" s="2">
        <v>4886063</v>
      </c>
      <c r="O25" s="2">
        <v>8414520.8120000008</v>
      </c>
      <c r="P25" s="2">
        <v>1709588</v>
      </c>
      <c r="Q25" s="2">
        <v>4412955.9230000004</v>
      </c>
      <c r="R25" s="2">
        <v>2361</v>
      </c>
      <c r="S25" s="2">
        <v>28830.348300000001</v>
      </c>
      <c r="T25" s="33">
        <f t="shared" si="2"/>
        <v>6598012</v>
      </c>
      <c r="U25" s="33">
        <f t="shared" si="3"/>
        <v>12856307.083300002</v>
      </c>
    </row>
    <row r="26" spans="2:21" x14ac:dyDescent="0.25">
      <c r="B26" s="9">
        <v>20</v>
      </c>
      <c r="C26" s="10" t="s">
        <v>31</v>
      </c>
      <c r="D26" s="2">
        <v>16782602</v>
      </c>
      <c r="E26" s="2">
        <v>48725677</v>
      </c>
      <c r="F26" s="2">
        <v>31012334</v>
      </c>
      <c r="G26" s="2">
        <v>121500148.91636001</v>
      </c>
      <c r="H26" s="2">
        <v>27100862</v>
      </c>
      <c r="I26" s="2">
        <v>204998021.34754002</v>
      </c>
      <c r="J26" s="2">
        <v>0</v>
      </c>
      <c r="K26" s="2">
        <v>0</v>
      </c>
      <c r="L26" s="2">
        <f t="shared" si="0"/>
        <v>58113196</v>
      </c>
      <c r="M26" s="2">
        <f t="shared" si="1"/>
        <v>326498170.26390004</v>
      </c>
      <c r="N26" s="2">
        <v>21235564</v>
      </c>
      <c r="O26" s="2">
        <v>53001141.022</v>
      </c>
      <c r="P26" s="2">
        <v>13971203</v>
      </c>
      <c r="Q26" s="2">
        <v>38589577.273999996</v>
      </c>
      <c r="R26" s="2">
        <v>117767</v>
      </c>
      <c r="S26" s="2">
        <v>1849620.808</v>
      </c>
      <c r="T26" s="33">
        <f t="shared" si="2"/>
        <v>35324534</v>
      </c>
      <c r="U26" s="33">
        <f t="shared" si="3"/>
        <v>93440339.104000002</v>
      </c>
    </row>
    <row r="27" spans="2:21" x14ac:dyDescent="0.25">
      <c r="B27" s="9">
        <v>21</v>
      </c>
      <c r="C27" s="10" t="s">
        <v>32</v>
      </c>
      <c r="D27" s="2">
        <v>13431626</v>
      </c>
      <c r="E27" s="2">
        <v>35813731</v>
      </c>
      <c r="F27" s="2">
        <v>18024135</v>
      </c>
      <c r="G27" s="2">
        <v>58934613.964000002</v>
      </c>
      <c r="H27" s="2">
        <v>25426354</v>
      </c>
      <c r="I27" s="2">
        <v>124418413.892</v>
      </c>
      <c r="J27" s="2">
        <v>37</v>
      </c>
      <c r="K27" s="2">
        <v>1629.7650000000001</v>
      </c>
      <c r="L27" s="2">
        <f t="shared" si="0"/>
        <v>43450526</v>
      </c>
      <c r="M27" s="2">
        <f t="shared" si="1"/>
        <v>183354657.62099999</v>
      </c>
      <c r="N27" s="2">
        <v>14067160</v>
      </c>
      <c r="O27" s="2">
        <v>36419035.494999997</v>
      </c>
      <c r="P27" s="2">
        <v>5460526</v>
      </c>
      <c r="Q27" s="2">
        <v>18597317.620999999</v>
      </c>
      <c r="R27" s="2">
        <v>22306</v>
      </c>
      <c r="S27" s="2">
        <v>215739.837</v>
      </c>
      <c r="T27" s="33">
        <f t="shared" si="2"/>
        <v>19549992</v>
      </c>
      <c r="U27" s="33">
        <f t="shared" si="3"/>
        <v>55232092.952999994</v>
      </c>
    </row>
    <row r="28" spans="2:21" x14ac:dyDescent="0.25">
      <c r="B28" s="9">
        <v>22</v>
      </c>
      <c r="C28" s="10" t="s">
        <v>33</v>
      </c>
      <c r="D28" s="2">
        <v>43829</v>
      </c>
      <c r="E28" s="2">
        <v>12394541</v>
      </c>
      <c r="F28" s="2">
        <v>71469</v>
      </c>
      <c r="G28" s="2">
        <v>219763.976</v>
      </c>
      <c r="H28" s="2">
        <v>41782</v>
      </c>
      <c r="I28" s="2">
        <v>143537.94099999999</v>
      </c>
      <c r="J28" s="2">
        <v>0</v>
      </c>
      <c r="K28" s="2">
        <v>0</v>
      </c>
      <c r="L28" s="2">
        <f t="shared" si="0"/>
        <v>113251</v>
      </c>
      <c r="M28" s="2">
        <f t="shared" si="1"/>
        <v>363301.91700000002</v>
      </c>
      <c r="N28" s="2">
        <v>2274820</v>
      </c>
      <c r="O28" s="2">
        <v>4462566.551</v>
      </c>
      <c r="P28" s="2">
        <v>530569</v>
      </c>
      <c r="Q28" s="2">
        <v>1147467.7009999999</v>
      </c>
      <c r="R28" s="2">
        <v>0</v>
      </c>
      <c r="S28" s="2">
        <v>0</v>
      </c>
      <c r="T28" s="33">
        <f t="shared" si="2"/>
        <v>2805389</v>
      </c>
      <c r="U28" s="33">
        <f t="shared" si="3"/>
        <v>5610034.2520000003</v>
      </c>
    </row>
    <row r="29" spans="2:21" x14ac:dyDescent="0.25">
      <c r="B29" s="9">
        <v>23</v>
      </c>
      <c r="C29" s="10" t="s">
        <v>34</v>
      </c>
      <c r="D29" s="2">
        <v>1292155</v>
      </c>
      <c r="E29" s="2">
        <v>5511906</v>
      </c>
      <c r="F29" s="2">
        <v>1785558</v>
      </c>
      <c r="G29" s="2">
        <v>6035000.2180599803</v>
      </c>
      <c r="H29" s="2">
        <v>1451361</v>
      </c>
      <c r="I29" s="2">
        <v>9548295.2330700066</v>
      </c>
      <c r="J29" s="2">
        <v>0</v>
      </c>
      <c r="K29" s="2">
        <v>0</v>
      </c>
      <c r="L29" s="2">
        <f t="shared" si="0"/>
        <v>3236919</v>
      </c>
      <c r="M29" s="2">
        <f t="shared" si="1"/>
        <v>15583295.451129988</v>
      </c>
      <c r="N29" s="2">
        <v>1138346</v>
      </c>
      <c r="O29" s="2">
        <v>2311411.0117800003</v>
      </c>
      <c r="P29" s="2">
        <v>445485</v>
      </c>
      <c r="Q29" s="2">
        <v>2180466.5019200002</v>
      </c>
      <c r="R29" s="2">
        <v>0</v>
      </c>
      <c r="S29" s="2">
        <v>0</v>
      </c>
      <c r="T29" s="33">
        <f t="shared" si="2"/>
        <v>1583831</v>
      </c>
      <c r="U29" s="33">
        <f t="shared" si="3"/>
        <v>4491877.5137000009</v>
      </c>
    </row>
    <row r="30" spans="2:21" x14ac:dyDescent="0.25">
      <c r="B30" s="9">
        <v>24</v>
      </c>
      <c r="C30" s="10" t="s">
        <v>35</v>
      </c>
      <c r="D30" s="2">
        <v>2018773</v>
      </c>
      <c r="E30" s="2">
        <v>7893221</v>
      </c>
      <c r="F30" s="2">
        <v>3206982</v>
      </c>
      <c r="G30" s="2">
        <v>14535391.602</v>
      </c>
      <c r="H30" s="2">
        <v>2355177</v>
      </c>
      <c r="I30" s="2">
        <v>50503814.443000004</v>
      </c>
      <c r="J30" s="2">
        <v>0</v>
      </c>
      <c r="K30" s="2">
        <v>0</v>
      </c>
      <c r="L30" s="2">
        <f t="shared" si="0"/>
        <v>5562159</v>
      </c>
      <c r="M30" s="2">
        <f t="shared" si="1"/>
        <v>65039206.045000002</v>
      </c>
      <c r="N30" s="2">
        <v>1419699</v>
      </c>
      <c r="O30" s="2">
        <v>3128578.4649999999</v>
      </c>
      <c r="P30" s="2">
        <v>852357</v>
      </c>
      <c r="Q30" s="2">
        <v>2664917.781</v>
      </c>
      <c r="R30" s="2">
        <v>964</v>
      </c>
      <c r="S30" s="2">
        <v>65030.745840000003</v>
      </c>
      <c r="T30" s="33">
        <f t="shared" si="2"/>
        <v>2273020</v>
      </c>
      <c r="U30" s="33">
        <f t="shared" si="3"/>
        <v>5858526.9918399993</v>
      </c>
    </row>
    <row r="31" spans="2:21" x14ac:dyDescent="0.25">
      <c r="B31" s="9">
        <v>25</v>
      </c>
      <c r="C31" s="10" t="s">
        <v>36</v>
      </c>
      <c r="D31" s="2">
        <v>83903</v>
      </c>
      <c r="E31" s="2">
        <v>3728497</v>
      </c>
      <c r="F31" s="2">
        <v>157305</v>
      </c>
      <c r="G31" s="2">
        <v>1115233.17056</v>
      </c>
      <c r="H31" s="2">
        <v>113124</v>
      </c>
      <c r="I31" s="2">
        <v>284327.91668999998</v>
      </c>
      <c r="J31" s="2">
        <v>0</v>
      </c>
      <c r="K31" s="2">
        <v>0</v>
      </c>
      <c r="L31" s="2">
        <f t="shared" si="0"/>
        <v>270429</v>
      </c>
      <c r="M31" s="2">
        <f t="shared" si="1"/>
        <v>1399561.0872499999</v>
      </c>
      <c r="N31" s="2">
        <v>1683726</v>
      </c>
      <c r="O31" s="2">
        <v>2828671.6765300003</v>
      </c>
      <c r="P31" s="2">
        <v>2845007</v>
      </c>
      <c r="Q31" s="2">
        <v>1100340.9901700001</v>
      </c>
      <c r="R31" s="2">
        <v>0</v>
      </c>
      <c r="S31" s="2">
        <v>0</v>
      </c>
      <c r="T31" s="33">
        <f t="shared" si="2"/>
        <v>4528733</v>
      </c>
      <c r="U31" s="33">
        <f t="shared" si="3"/>
        <v>3929012.6667000004</v>
      </c>
    </row>
    <row r="32" spans="2:21" x14ac:dyDescent="0.25">
      <c r="B32" s="9">
        <v>26</v>
      </c>
      <c r="C32" s="10" t="s">
        <v>37</v>
      </c>
      <c r="D32" s="2">
        <v>0</v>
      </c>
      <c r="E32" s="2">
        <v>5165032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f t="shared" si="0"/>
        <v>0</v>
      </c>
      <c r="M32" s="2">
        <f t="shared" si="1"/>
        <v>0</v>
      </c>
      <c r="N32" s="2">
        <v>1687102</v>
      </c>
      <c r="O32" s="2">
        <v>2435502.1159999999</v>
      </c>
      <c r="P32" s="2">
        <v>243224</v>
      </c>
      <c r="Q32" s="2">
        <v>469009.33100000001</v>
      </c>
      <c r="R32" s="2">
        <v>0</v>
      </c>
      <c r="S32" s="2">
        <v>0</v>
      </c>
      <c r="T32" s="33">
        <f t="shared" si="2"/>
        <v>1930326</v>
      </c>
      <c r="U32" s="33">
        <f t="shared" si="3"/>
        <v>2904511.4469999997</v>
      </c>
    </row>
    <row r="33" spans="1:21" x14ac:dyDescent="0.25">
      <c r="B33" s="9">
        <v>27</v>
      </c>
      <c r="C33" s="10" t="s">
        <v>38</v>
      </c>
      <c r="D33" s="2">
        <v>10565</v>
      </c>
      <c r="E33" s="2">
        <v>4113474</v>
      </c>
      <c r="F33" s="2">
        <v>25246</v>
      </c>
      <c r="G33" s="2">
        <v>151098.66834999999</v>
      </c>
      <c r="H33" s="2">
        <v>8358</v>
      </c>
      <c r="I33" s="2">
        <v>97588.686959999992</v>
      </c>
      <c r="J33" s="2">
        <v>0</v>
      </c>
      <c r="K33" s="2">
        <v>0</v>
      </c>
      <c r="L33" s="2">
        <f t="shared" si="0"/>
        <v>33604</v>
      </c>
      <c r="M33" s="2">
        <f t="shared" si="1"/>
        <v>248687.35530999998</v>
      </c>
      <c r="N33" s="2">
        <v>1670853</v>
      </c>
      <c r="O33" s="2">
        <v>3431394.1812100001</v>
      </c>
      <c r="P33" s="2">
        <v>285171</v>
      </c>
      <c r="Q33" s="2">
        <v>858341.66469000001</v>
      </c>
      <c r="R33" s="2">
        <v>9958</v>
      </c>
      <c r="S33" s="2">
        <v>207584.17716999998</v>
      </c>
      <c r="T33" s="33">
        <f t="shared" si="2"/>
        <v>1965982</v>
      </c>
      <c r="U33" s="33">
        <f t="shared" si="3"/>
        <v>4497320.0230700001</v>
      </c>
    </row>
    <row r="34" spans="1:21" x14ac:dyDescent="0.25">
      <c r="B34" s="9">
        <v>28</v>
      </c>
      <c r="C34" s="10" t="s">
        <v>39</v>
      </c>
      <c r="D34" s="2">
        <v>4597686</v>
      </c>
      <c r="E34" s="2">
        <v>26514365</v>
      </c>
      <c r="F34" s="2">
        <v>4773570</v>
      </c>
      <c r="G34" s="2">
        <v>15021327.675889999</v>
      </c>
      <c r="H34" s="2">
        <v>3656661</v>
      </c>
      <c r="I34" s="2">
        <v>22481453.570639998</v>
      </c>
      <c r="J34" s="2">
        <v>0</v>
      </c>
      <c r="K34" s="2">
        <v>0</v>
      </c>
      <c r="L34" s="2">
        <f t="shared" si="0"/>
        <v>8430231</v>
      </c>
      <c r="M34" s="2">
        <f t="shared" si="1"/>
        <v>37502781.246529996</v>
      </c>
      <c r="N34" s="2">
        <v>4148561</v>
      </c>
      <c r="O34" s="2">
        <v>7828807.1477099992</v>
      </c>
      <c r="P34" s="2">
        <v>2951836</v>
      </c>
      <c r="Q34" s="2">
        <v>6695356.0158900004</v>
      </c>
      <c r="R34" s="2">
        <v>0</v>
      </c>
      <c r="S34" s="2">
        <v>0</v>
      </c>
      <c r="T34" s="33">
        <f t="shared" si="2"/>
        <v>7100397</v>
      </c>
      <c r="U34" s="33">
        <f t="shared" si="3"/>
        <v>14524163.1636</v>
      </c>
    </row>
    <row r="35" spans="1:21" x14ac:dyDescent="0.25">
      <c r="B35" s="9">
        <v>29</v>
      </c>
      <c r="C35" s="10" t="s">
        <v>40</v>
      </c>
      <c r="D35" s="2">
        <v>0</v>
      </c>
      <c r="E35" s="2">
        <v>195401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f t="shared" si="0"/>
        <v>0</v>
      </c>
      <c r="M35" s="2">
        <f t="shared" si="1"/>
        <v>0</v>
      </c>
      <c r="N35" s="2">
        <v>29487</v>
      </c>
      <c r="O35" s="2">
        <v>54216.438049999997</v>
      </c>
      <c r="P35" s="2">
        <v>16603</v>
      </c>
      <c r="Q35" s="2">
        <v>33234.848839999999</v>
      </c>
      <c r="R35" s="2">
        <v>0</v>
      </c>
      <c r="S35" s="2">
        <v>0</v>
      </c>
      <c r="T35" s="33">
        <f t="shared" si="2"/>
        <v>46090</v>
      </c>
      <c r="U35" s="33">
        <f t="shared" si="3"/>
        <v>87451.286889999988</v>
      </c>
    </row>
    <row r="36" spans="1:21" x14ac:dyDescent="0.25">
      <c r="B36" s="9">
        <v>30</v>
      </c>
      <c r="C36" s="10" t="s">
        <v>41</v>
      </c>
      <c r="D36" s="2">
        <v>4230404</v>
      </c>
      <c r="E36" s="2">
        <v>1512891</v>
      </c>
      <c r="F36" s="2">
        <v>6804218</v>
      </c>
      <c r="G36" s="2">
        <v>26533498.443</v>
      </c>
      <c r="H36" s="2">
        <v>2983772</v>
      </c>
      <c r="I36" s="2">
        <v>23407563.699999999</v>
      </c>
      <c r="J36" s="2">
        <v>0</v>
      </c>
      <c r="K36" s="2">
        <v>0</v>
      </c>
      <c r="L36" s="2">
        <f t="shared" si="0"/>
        <v>9787990</v>
      </c>
      <c r="M36" s="2">
        <f t="shared" si="1"/>
        <v>49941062.142999999</v>
      </c>
      <c r="N36" s="2">
        <v>276063</v>
      </c>
      <c r="O36" s="2">
        <v>593186.17200000002</v>
      </c>
      <c r="P36" s="2">
        <v>121881</v>
      </c>
      <c r="Q36" s="2">
        <v>441191.04300000001</v>
      </c>
      <c r="R36" s="2">
        <v>106</v>
      </c>
      <c r="S36" s="2">
        <v>3591.7338500000001</v>
      </c>
      <c r="T36" s="33">
        <f t="shared" si="2"/>
        <v>398050</v>
      </c>
      <c r="U36" s="33">
        <f t="shared" si="3"/>
        <v>1037968.94885</v>
      </c>
    </row>
    <row r="37" spans="1:21" x14ac:dyDescent="0.25">
      <c r="B37" s="9">
        <v>31</v>
      </c>
      <c r="C37" s="10" t="s">
        <v>42</v>
      </c>
      <c r="D37" s="2">
        <v>169154</v>
      </c>
      <c r="E37" s="2">
        <v>3600077</v>
      </c>
      <c r="F37" s="2">
        <v>403676</v>
      </c>
      <c r="G37" s="2">
        <v>1285959.5</v>
      </c>
      <c r="H37" s="2">
        <v>381813</v>
      </c>
      <c r="I37" s="2">
        <v>2532363.1630000002</v>
      </c>
      <c r="J37" s="2">
        <v>0</v>
      </c>
      <c r="K37" s="2">
        <v>0</v>
      </c>
      <c r="L37" s="2">
        <f t="shared" si="0"/>
        <v>785489</v>
      </c>
      <c r="M37" s="2">
        <f t="shared" si="1"/>
        <v>3818322.6630000002</v>
      </c>
      <c r="N37" s="2">
        <v>1659353</v>
      </c>
      <c r="O37" s="2">
        <v>2992962.94</v>
      </c>
      <c r="P37" s="2">
        <v>301406</v>
      </c>
      <c r="Q37" s="2">
        <v>821144.49710000004</v>
      </c>
      <c r="R37" s="2">
        <v>0</v>
      </c>
      <c r="S37" s="2">
        <v>0</v>
      </c>
      <c r="T37" s="33">
        <f t="shared" si="2"/>
        <v>1960759</v>
      </c>
      <c r="U37" s="33">
        <f t="shared" si="3"/>
        <v>3814107.4370999997</v>
      </c>
    </row>
    <row r="38" spans="1:21" x14ac:dyDescent="0.25">
      <c r="B38" s="9">
        <v>32</v>
      </c>
      <c r="C38" s="10" t="s">
        <v>43</v>
      </c>
      <c r="D38" s="2">
        <v>40992</v>
      </c>
      <c r="E38" s="2">
        <v>2150529</v>
      </c>
      <c r="F38" s="2">
        <v>57427</v>
      </c>
      <c r="G38" s="2">
        <v>243277.90672</v>
      </c>
      <c r="H38" s="2">
        <v>21169</v>
      </c>
      <c r="I38" s="2">
        <v>106915.3475</v>
      </c>
      <c r="J38" s="2">
        <v>0</v>
      </c>
      <c r="K38" s="2">
        <v>0</v>
      </c>
      <c r="L38" s="2">
        <f t="shared" si="0"/>
        <v>78596</v>
      </c>
      <c r="M38" s="2">
        <f t="shared" si="1"/>
        <v>350193.25422</v>
      </c>
      <c r="N38" s="2">
        <v>429367</v>
      </c>
      <c r="O38" s="2">
        <v>892372.06795000006</v>
      </c>
      <c r="P38" s="2">
        <v>99435</v>
      </c>
      <c r="Q38" s="2">
        <v>195653.62899999999</v>
      </c>
      <c r="R38" s="2">
        <v>97</v>
      </c>
      <c r="S38" s="2">
        <v>281.50099999999998</v>
      </c>
      <c r="T38" s="33">
        <f t="shared" si="2"/>
        <v>528899</v>
      </c>
      <c r="U38" s="33">
        <f t="shared" si="3"/>
        <v>1088307.1979499999</v>
      </c>
    </row>
    <row r="39" spans="1:21" x14ac:dyDescent="0.25">
      <c r="B39" s="9">
        <v>33</v>
      </c>
      <c r="C39" s="10" t="s">
        <v>44</v>
      </c>
      <c r="D39" s="2">
        <v>1361789</v>
      </c>
      <c r="E39" s="2">
        <v>4075864</v>
      </c>
      <c r="F39" s="2">
        <v>1908458</v>
      </c>
      <c r="G39" s="2">
        <v>6097833.7274200004</v>
      </c>
      <c r="H39" s="2">
        <v>845235</v>
      </c>
      <c r="I39" s="2">
        <v>6790707.7039899994</v>
      </c>
      <c r="J39" s="2">
        <v>0</v>
      </c>
      <c r="K39" s="2">
        <v>0</v>
      </c>
      <c r="L39" s="2">
        <f t="shared" si="0"/>
        <v>2753693</v>
      </c>
      <c r="M39" s="2">
        <f t="shared" si="1"/>
        <v>12888541.43141</v>
      </c>
      <c r="N39" s="2">
        <v>1129361</v>
      </c>
      <c r="O39" s="2">
        <v>2325716.7229200001</v>
      </c>
      <c r="P39" s="2">
        <v>523061</v>
      </c>
      <c r="Q39" s="2">
        <v>1442814.6849500001</v>
      </c>
      <c r="R39" s="2">
        <v>56</v>
      </c>
      <c r="S39" s="2">
        <v>942.65217000000007</v>
      </c>
      <c r="T39" s="33">
        <f t="shared" si="2"/>
        <v>1652478</v>
      </c>
      <c r="U39" s="33">
        <f t="shared" si="3"/>
        <v>3769474.0600399999</v>
      </c>
    </row>
    <row r="40" spans="1:21" x14ac:dyDescent="0.25">
      <c r="B40" s="20" t="s">
        <v>45</v>
      </c>
      <c r="C40" s="21"/>
      <c r="D40" s="1"/>
      <c r="E40" s="1"/>
      <c r="F40" s="1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3"/>
      <c r="U40" s="33"/>
    </row>
    <row r="41" spans="1:21" x14ac:dyDescent="0.25">
      <c r="B41" s="9">
        <v>34</v>
      </c>
      <c r="C41" s="10" t="s">
        <v>46</v>
      </c>
      <c r="D41" s="2">
        <v>1313008</v>
      </c>
      <c r="E41" s="2">
        <v>0</v>
      </c>
      <c r="F41" s="2">
        <v>1021443</v>
      </c>
      <c r="G41" s="2">
        <v>7900013.7949999999</v>
      </c>
      <c r="H41" s="2">
        <v>2994038</v>
      </c>
      <c r="I41" s="2">
        <v>24503917.026000001</v>
      </c>
      <c r="J41" s="2">
        <v>0</v>
      </c>
      <c r="K41" s="2">
        <v>0</v>
      </c>
      <c r="L41" s="2">
        <f t="shared" si="0"/>
        <v>4015481</v>
      </c>
      <c r="M41" s="2">
        <f t="shared" si="1"/>
        <v>32403930.821000002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33">
        <f t="shared" si="2"/>
        <v>0</v>
      </c>
      <c r="U41" s="33">
        <f t="shared" si="3"/>
        <v>0</v>
      </c>
    </row>
    <row r="42" spans="1:21" x14ac:dyDescent="0.25">
      <c r="B42" s="9">
        <v>35</v>
      </c>
      <c r="C42" s="10" t="s">
        <v>47</v>
      </c>
      <c r="D42" s="2">
        <v>5159</v>
      </c>
      <c r="E42" s="2">
        <v>0</v>
      </c>
      <c r="F42" s="2">
        <v>4921</v>
      </c>
      <c r="G42" s="2">
        <v>24325.62371</v>
      </c>
      <c r="H42" s="2">
        <v>1871</v>
      </c>
      <c r="I42" s="2">
        <v>18116.856099999997</v>
      </c>
      <c r="J42" s="2">
        <v>0</v>
      </c>
      <c r="K42" s="2">
        <v>0</v>
      </c>
      <c r="L42" s="2">
        <f t="shared" si="0"/>
        <v>6792</v>
      </c>
      <c r="M42" s="2">
        <f t="shared" si="1"/>
        <v>42442.479809999997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33">
        <f t="shared" si="2"/>
        <v>0</v>
      </c>
      <c r="U42" s="33">
        <f t="shared" si="3"/>
        <v>0</v>
      </c>
    </row>
    <row r="43" spans="1:21" x14ac:dyDescent="0.25">
      <c r="B43" s="9">
        <v>36</v>
      </c>
      <c r="C43" s="10" t="s">
        <v>48</v>
      </c>
      <c r="D43" s="2">
        <v>0</v>
      </c>
      <c r="E43" s="2">
        <v>903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f t="shared" si="0"/>
        <v>0</v>
      </c>
      <c r="M43" s="2">
        <f t="shared" si="1"/>
        <v>0</v>
      </c>
      <c r="N43" s="2">
        <v>33</v>
      </c>
      <c r="O43" s="2">
        <v>353.72919999999999</v>
      </c>
      <c r="P43" s="2">
        <v>1</v>
      </c>
      <c r="Q43" s="2">
        <v>1.5</v>
      </c>
      <c r="R43" s="2">
        <v>0</v>
      </c>
      <c r="S43" s="2">
        <v>0</v>
      </c>
      <c r="T43" s="33">
        <f t="shared" si="2"/>
        <v>34</v>
      </c>
      <c r="U43" s="33">
        <f t="shared" si="3"/>
        <v>355.22919999999999</v>
      </c>
    </row>
    <row r="44" spans="1:21" x14ac:dyDescent="0.25">
      <c r="B44" s="9">
        <v>37</v>
      </c>
      <c r="C44" s="10" t="s">
        <v>49</v>
      </c>
      <c r="D44" s="2">
        <v>2482096</v>
      </c>
      <c r="E44" s="2">
        <v>1311767</v>
      </c>
      <c r="F44" s="2">
        <v>7998058</v>
      </c>
      <c r="G44" s="2">
        <v>21287177.466419999</v>
      </c>
      <c r="H44" s="2">
        <v>3132953</v>
      </c>
      <c r="I44" s="2">
        <v>18247519.269930001</v>
      </c>
      <c r="J44" s="2">
        <v>0</v>
      </c>
      <c r="K44" s="2">
        <v>0</v>
      </c>
      <c r="L44" s="2">
        <f t="shared" si="0"/>
        <v>11131011</v>
      </c>
      <c r="M44" s="2">
        <f t="shared" si="1"/>
        <v>39534696.73635</v>
      </c>
      <c r="N44" s="2">
        <v>739734</v>
      </c>
      <c r="O44" s="2">
        <v>1957487.77364</v>
      </c>
      <c r="P44" s="2">
        <v>770526</v>
      </c>
      <c r="Q44" s="2">
        <v>2394263.7837899998</v>
      </c>
      <c r="R44" s="2">
        <v>0</v>
      </c>
      <c r="S44" s="2">
        <v>0</v>
      </c>
      <c r="T44" s="33">
        <f t="shared" si="2"/>
        <v>1510260</v>
      </c>
      <c r="U44" s="33">
        <f t="shared" si="3"/>
        <v>4351751.55743</v>
      </c>
    </row>
    <row r="45" spans="1:21" x14ac:dyDescent="0.25">
      <c r="B45" s="9">
        <v>38</v>
      </c>
      <c r="C45" s="10" t="s">
        <v>50</v>
      </c>
      <c r="D45" s="2">
        <v>118719</v>
      </c>
      <c r="E45" s="2">
        <v>1945944</v>
      </c>
      <c r="F45" s="2">
        <v>126755</v>
      </c>
      <c r="G45" s="2">
        <v>431311.49170000001</v>
      </c>
      <c r="H45" s="2">
        <v>88297</v>
      </c>
      <c r="I45" s="2">
        <v>615336.46066999994</v>
      </c>
      <c r="J45" s="2">
        <v>0</v>
      </c>
      <c r="K45" s="2">
        <v>0</v>
      </c>
      <c r="L45" s="2">
        <f t="shared" si="0"/>
        <v>215052</v>
      </c>
      <c r="M45" s="2">
        <f t="shared" si="1"/>
        <v>1046647.95237</v>
      </c>
      <c r="N45" s="2">
        <v>500660</v>
      </c>
      <c r="O45" s="2">
        <v>780999.48499999999</v>
      </c>
      <c r="P45" s="2">
        <v>170502</v>
      </c>
      <c r="Q45" s="2">
        <v>353887.98800000001</v>
      </c>
      <c r="R45" s="2">
        <v>320</v>
      </c>
      <c r="S45" s="2">
        <v>4805.7520000000004</v>
      </c>
      <c r="T45" s="33">
        <f t="shared" si="2"/>
        <v>671482</v>
      </c>
      <c r="U45" s="33">
        <f t="shared" si="3"/>
        <v>1139693.2250000001</v>
      </c>
    </row>
    <row r="46" spans="1:21" x14ac:dyDescent="0.25">
      <c r="B46" s="9">
        <v>39</v>
      </c>
      <c r="C46" s="10" t="s">
        <v>51</v>
      </c>
      <c r="D46" s="2">
        <v>0</v>
      </c>
      <c r="E46" s="2">
        <v>117513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f t="shared" si="0"/>
        <v>0</v>
      </c>
      <c r="M46" s="2">
        <f t="shared" si="1"/>
        <v>0</v>
      </c>
      <c r="N46" s="2">
        <v>65143</v>
      </c>
      <c r="O46" s="2">
        <v>157714.516</v>
      </c>
      <c r="P46" s="2">
        <v>7948</v>
      </c>
      <c r="Q46" s="2">
        <v>38893.839100000005</v>
      </c>
      <c r="R46" s="2">
        <v>0</v>
      </c>
      <c r="S46" s="2">
        <v>0</v>
      </c>
      <c r="T46" s="33">
        <f t="shared" si="2"/>
        <v>73091</v>
      </c>
      <c r="U46" s="33">
        <f t="shared" si="3"/>
        <v>196608.35510000002</v>
      </c>
    </row>
    <row r="47" spans="1:21" x14ac:dyDescent="0.25">
      <c r="B47" s="9">
        <v>40</v>
      </c>
      <c r="C47" s="10" t="s">
        <v>52</v>
      </c>
      <c r="D47" s="2">
        <v>692840</v>
      </c>
      <c r="E47" s="2">
        <v>562551</v>
      </c>
      <c r="F47" s="2">
        <v>678381</v>
      </c>
      <c r="G47" s="2">
        <v>2319262.8319299999</v>
      </c>
      <c r="H47" s="2">
        <v>945138</v>
      </c>
      <c r="I47" s="2">
        <v>4159732.38185</v>
      </c>
      <c r="J47" s="2">
        <v>0</v>
      </c>
      <c r="K47" s="2">
        <v>0</v>
      </c>
      <c r="L47" s="2">
        <f t="shared" si="0"/>
        <v>1623519</v>
      </c>
      <c r="M47" s="2">
        <f t="shared" si="1"/>
        <v>6478995.2137799999</v>
      </c>
      <c r="N47" s="2">
        <v>254928</v>
      </c>
      <c r="O47" s="2">
        <v>921959.89850000001</v>
      </c>
      <c r="P47" s="2">
        <v>0</v>
      </c>
      <c r="Q47" s="2">
        <v>0</v>
      </c>
      <c r="R47" s="2">
        <v>0</v>
      </c>
      <c r="S47" s="2">
        <v>0</v>
      </c>
      <c r="T47" s="33">
        <f t="shared" si="2"/>
        <v>254928</v>
      </c>
      <c r="U47" s="33">
        <f t="shared" si="3"/>
        <v>921959.89850000001</v>
      </c>
    </row>
    <row r="48" spans="1:21" x14ac:dyDescent="0.25">
      <c r="A48" s="5" t="s">
        <v>53</v>
      </c>
      <c r="B48" s="9">
        <v>41</v>
      </c>
      <c r="C48" s="10" t="s">
        <v>54</v>
      </c>
      <c r="D48" s="2">
        <v>1703964</v>
      </c>
      <c r="E48" s="2">
        <v>404244</v>
      </c>
      <c r="F48" s="2">
        <v>492773</v>
      </c>
      <c r="G48" s="2">
        <v>2193816.7940000002</v>
      </c>
      <c r="H48" s="2">
        <v>1196798</v>
      </c>
      <c r="I48" s="2">
        <v>5820988.6160000004</v>
      </c>
      <c r="J48" s="2">
        <v>0</v>
      </c>
      <c r="K48" s="2">
        <v>0</v>
      </c>
      <c r="L48" s="2">
        <f t="shared" si="0"/>
        <v>1689571</v>
      </c>
      <c r="M48" s="2">
        <f t="shared" si="1"/>
        <v>8014805.4100000001</v>
      </c>
      <c r="N48" s="2">
        <v>15823</v>
      </c>
      <c r="O48" s="2">
        <v>38686.711000000003</v>
      </c>
      <c r="P48" s="2">
        <v>46499</v>
      </c>
      <c r="Q48" s="2">
        <v>113898.295</v>
      </c>
      <c r="R48" s="2">
        <v>0</v>
      </c>
      <c r="S48" s="2">
        <v>0</v>
      </c>
      <c r="T48" s="33">
        <f t="shared" si="2"/>
        <v>62322</v>
      </c>
      <c r="U48" s="33">
        <f t="shared" si="3"/>
        <v>152585.00599999999</v>
      </c>
    </row>
    <row r="49" spans="1:21" x14ac:dyDescent="0.25">
      <c r="B49" s="9">
        <v>42</v>
      </c>
      <c r="C49" s="7" t="s">
        <v>55</v>
      </c>
      <c r="D49" s="2">
        <v>1102760</v>
      </c>
      <c r="E49" s="2">
        <v>1169240</v>
      </c>
      <c r="F49" s="2">
        <v>1854799</v>
      </c>
      <c r="G49" s="2">
        <v>5282507.3770000003</v>
      </c>
      <c r="H49" s="2">
        <v>862206</v>
      </c>
      <c r="I49" s="2">
        <v>4802550.398</v>
      </c>
      <c r="J49" s="2">
        <v>0</v>
      </c>
      <c r="K49" s="2">
        <v>0</v>
      </c>
      <c r="L49" s="2">
        <f t="shared" si="0"/>
        <v>2717005</v>
      </c>
      <c r="M49" s="2">
        <f t="shared" si="1"/>
        <v>10085057.775</v>
      </c>
      <c r="N49" s="2">
        <v>1108020</v>
      </c>
      <c r="O49" s="2">
        <v>2635463.2179999999</v>
      </c>
      <c r="P49" s="2">
        <v>131722</v>
      </c>
      <c r="Q49" s="2">
        <v>605763.79599999997</v>
      </c>
      <c r="R49" s="2">
        <v>32</v>
      </c>
      <c r="S49" s="2">
        <v>609.10199999999998</v>
      </c>
      <c r="T49" s="33">
        <f t="shared" si="2"/>
        <v>1239774</v>
      </c>
      <c r="U49" s="33">
        <f t="shared" si="3"/>
        <v>3241836.1159999999</v>
      </c>
    </row>
    <row r="50" spans="1:21" x14ac:dyDescent="0.25">
      <c r="B50" s="9">
        <v>43</v>
      </c>
      <c r="C50" s="7" t="s">
        <v>56</v>
      </c>
      <c r="D50" s="2">
        <v>0</v>
      </c>
      <c r="E50" s="17">
        <v>1091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f t="shared" si="0"/>
        <v>0</v>
      </c>
      <c r="M50" s="2">
        <f t="shared" si="1"/>
        <v>0</v>
      </c>
      <c r="N50" s="2">
        <v>5189</v>
      </c>
      <c r="O50" s="2">
        <v>16036.57213</v>
      </c>
      <c r="P50" s="2">
        <v>1494</v>
      </c>
      <c r="Q50" s="2">
        <v>4195.3121700000002</v>
      </c>
      <c r="R50" s="2">
        <v>0</v>
      </c>
      <c r="S50" s="2">
        <v>0</v>
      </c>
      <c r="T50" s="33">
        <f t="shared" si="2"/>
        <v>6683</v>
      </c>
      <c r="U50" s="33">
        <f t="shared" si="3"/>
        <v>20231.884300000002</v>
      </c>
    </row>
    <row r="51" spans="1:21" s="15" customFormat="1" x14ac:dyDescent="0.25">
      <c r="A51" s="14"/>
      <c r="B51" s="18" t="s">
        <v>57</v>
      </c>
      <c r="C51" s="19"/>
      <c r="D51" s="3">
        <f>SUM(D6:D50)</f>
        <v>80248517</v>
      </c>
      <c r="E51" s="3">
        <f>SUM(E6:E50)</f>
        <v>863947604</v>
      </c>
      <c r="F51" s="3">
        <f>SUM(F6:F50)</f>
        <v>127097521</v>
      </c>
      <c r="G51" s="3">
        <f>SUM(G6:G50)</f>
        <v>431825680.94429988</v>
      </c>
      <c r="H51" s="3">
        <f>SUM(H6:H50)</f>
        <v>106650220</v>
      </c>
      <c r="I51" s="3">
        <f>SUM(I6:I50)</f>
        <v>710170146.43480992</v>
      </c>
      <c r="J51" s="3">
        <f>SUM(J6:J50)</f>
        <v>37</v>
      </c>
      <c r="K51" s="3">
        <f>SUM(K6:K50)</f>
        <v>1629.7650000000001</v>
      </c>
      <c r="L51" s="32">
        <f t="shared" si="0"/>
        <v>233747778</v>
      </c>
      <c r="M51" s="32">
        <f t="shared" si="1"/>
        <v>1141997457.1441097</v>
      </c>
      <c r="N51" s="3">
        <f>SUM(N6:N50)</f>
        <v>176008113</v>
      </c>
      <c r="O51" s="3">
        <f>SUM(O6:O50)</f>
        <v>369230294.37647998</v>
      </c>
      <c r="P51" s="3">
        <f>SUM(P6:P50)</f>
        <v>80042422</v>
      </c>
      <c r="Q51" s="3">
        <f>SUM(Q6:Q50)</f>
        <v>176492410.66794997</v>
      </c>
      <c r="R51" s="3">
        <f>SUM(R6:R50)</f>
        <v>196901</v>
      </c>
      <c r="S51" s="3">
        <f>SUM(S6:S50)</f>
        <v>3143290.3247400001</v>
      </c>
      <c r="T51" s="34">
        <f t="shared" si="2"/>
        <v>256247436</v>
      </c>
      <c r="U51" s="34">
        <f t="shared" si="3"/>
        <v>548865995.36916995</v>
      </c>
    </row>
    <row r="52" spans="1:21" ht="12.75" customHeight="1" x14ac:dyDescent="0.25">
      <c r="A52" s="16"/>
      <c r="B52" s="4"/>
      <c r="C52" s="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</sheetData>
  <mergeCells count="22">
    <mergeCell ref="F1:M1"/>
    <mergeCell ref="F2:M2"/>
    <mergeCell ref="L3:M3"/>
    <mergeCell ref="T3:U3"/>
    <mergeCell ref="N2:U2"/>
    <mergeCell ref="N1:U1"/>
    <mergeCell ref="B1:B4"/>
    <mergeCell ref="C1:C4"/>
    <mergeCell ref="D1:E1"/>
    <mergeCell ref="D2:D4"/>
    <mergeCell ref="E2:E4"/>
    <mergeCell ref="F3:G3"/>
    <mergeCell ref="H3:I3"/>
    <mergeCell ref="J3:K3"/>
    <mergeCell ref="N3:O3"/>
    <mergeCell ref="P3:Q3"/>
    <mergeCell ref="R3:S3"/>
    <mergeCell ref="B51:C51"/>
    <mergeCell ref="B5:C5"/>
    <mergeCell ref="B18:C18"/>
    <mergeCell ref="B40:C40"/>
    <mergeCell ref="D52:S52"/>
  </mergeCells>
  <pageMargins left="7.874015748031496E-2" right="3.937007874015748E-2" top="0.11811023622047245" bottom="0" header="7.874015748031496E-2" footer="3.937007874015748E-2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2023-01-24T15:25:30Z</cp:lastPrinted>
  <dcterms:created xsi:type="dcterms:W3CDTF">2023-01-13T05:47:27Z</dcterms:created>
  <dcterms:modified xsi:type="dcterms:W3CDTF">2023-07-18T15:38:00Z</dcterms:modified>
</cp:coreProperties>
</file>