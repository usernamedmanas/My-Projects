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E:\Data Portfolio Project\HDFC Bank Card Transaction Analysis\Excel Files\"/>
    </mc:Choice>
  </mc:AlternateContent>
  <xr:revisionPtr revIDLastSave="0" documentId="13_ncr:1_{C1ECF4D1-9190-48C1-93EA-725AB46BC0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ctober 2022 (Revised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8" i="1" l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0" i="1"/>
  <c r="U40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T51" i="1"/>
  <c r="U51" i="1"/>
  <c r="U7" i="1"/>
  <c r="T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M7" i="1"/>
  <c r="L7" i="1"/>
  <c r="S51" i="1"/>
  <c r="R51" i="1"/>
  <c r="Q51" i="1"/>
  <c r="P51" i="1"/>
  <c r="O51" i="1"/>
  <c r="N51" i="1"/>
  <c r="K51" i="1"/>
  <c r="J51" i="1"/>
  <c r="I51" i="1"/>
  <c r="H51" i="1"/>
  <c r="G51" i="1"/>
  <c r="F51" i="1"/>
  <c r="E51" i="1"/>
  <c r="D51" i="1"/>
</calcChain>
</file>

<file path=xl/sharedStrings.xml><?xml version="1.0" encoding="utf-8"?>
<sst xmlns="http://schemas.openxmlformats.org/spreadsheetml/2006/main" count="77" uniqueCount="57">
  <si>
    <t>Credit Card</t>
  </si>
  <si>
    <t>Debit Card</t>
  </si>
  <si>
    <t>Credit Cards</t>
  </si>
  <si>
    <t>Debit Cards</t>
  </si>
  <si>
    <t>Card Payments Transactions</t>
  </si>
  <si>
    <t>at PoS</t>
  </si>
  <si>
    <t>Online (e-com)</t>
  </si>
  <si>
    <t>Others</t>
  </si>
  <si>
    <t>Volume (in actuals)</t>
  </si>
  <si>
    <t>Value (in Rs'000)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</si>
  <si>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</si>
  <si>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</si>
  <si>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</si>
  <si>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</si>
  <si>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</si>
  <si>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</si>
  <si>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</si>
  <si>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</si>
  <si>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</si>
  <si>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</si>
  <si>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</si>
  <si>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</si>
  <si>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</si>
  <si>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</si>
  <si>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</si>
  <si>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</si>
  <si>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</si>
  <si>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</si>
  <si>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</si>
  <si>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</si>
  <si>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</si>
  <si>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</si>
  <si>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</si>
  <si>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</si>
  <si>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</si>
  <si>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</si>
  <si>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</si>
  <si>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</si>
  <si>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</si>
  <si>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</si>
  <si>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</si>
  <si>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</si>
  <si>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</si>
  <si>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</si>
  <si>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</si>
  <si>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</si>
  <si>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</si>
  <si>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</si>
  <si>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</si>
  <si>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</si>
  <si>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</si>
  <si>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</si>
  <si>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</si>
  <si>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 xml:space="preserve"> </t>
  </si>
  <si>
    <t>SBM BANK INDIA LTD</t>
  </si>
  <si>
    <t>STANDARD CHARTERED BANK LTD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</si>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</sst>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1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vertical="center"/>
    </xf>
    <xf numFmtId="1" fontId="2" fillId="2" borderId="3" xfId="0" applyNumberFormat="1" applyFont="1" applyFill="1" applyBorder="1"/>
    <xf numFmtId="0" fontId="3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3" fillId="2" borderId="3" xfId="2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vertical="center"/>
      <protection locked="0"/>
    </xf>
    <xf numFmtId="0" fontId="3" fillId="2" borderId="3" xfId="0" applyFont="1" applyFill="1" applyBorder="1" applyAlignment="1">
      <alignment vertical="center"/>
    </xf>
    <xf numFmtId="0" fontId="2" fillId="2" borderId="3" xfId="0" applyFont="1" applyFill="1" applyBorder="1" applyProtection="1"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left"/>
      <protection locked="0"/>
    </xf>
    <xf numFmtId="1" fontId="2" fillId="0" borderId="3" xfId="0" applyNumberFormat="1" applyFont="1" applyBorder="1"/>
    <xf numFmtId="0" fontId="3" fillId="2" borderId="0" xfId="0" applyFont="1" applyFill="1" applyAlignment="1" applyProtection="1">
      <alignment horizontal="left"/>
      <protection locked="0"/>
    </xf>
    <xf numFmtId="1" fontId="3" fillId="2" borderId="3" xfId="0" applyNumberFormat="1" applyFont="1" applyFill="1" applyBorder="1" applyAlignment="1">
      <alignment horizontal="right" vertical="center"/>
    </xf>
    <xf numFmtId="0" fontId="2" fillId="2" borderId="0" xfId="0" applyFont="1" applyFill="1" applyAlignment="1" applyProtection="1">
      <alignment horizontal="left"/>
      <protection locked="0"/>
    </xf>
    <xf numFmtId="0" fontId="3" fillId="2" borderId="3" xfId="1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1" applyFont="1" applyFill="1" applyBorder="1" applyAlignment="1" applyProtection="1">
      <alignment horizontal="center" vertical="center" wrapText="1"/>
      <protection locked="0"/>
    </xf>
    <xf numFmtId="0" fontId="3" fillId="2" borderId="4" xfId="1" applyFont="1" applyFill="1" applyBorder="1" applyAlignment="1" applyProtection="1">
      <alignment horizontal="center" vertical="center" wrapText="1"/>
      <protection locked="0"/>
    </xf>
    <xf numFmtId="0" fontId="3" fillId="2" borderId="3" xfId="1" applyFont="1" applyFill="1" applyBorder="1" applyAlignment="1" applyProtection="1">
      <alignment horizontal="center" vertical="center"/>
      <protection locked="0"/>
    </xf>
    <xf numFmtId="0" fontId="3" fillId="2" borderId="2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4" xfId="1" applyFont="1" applyFill="1" applyBorder="1" applyAlignment="1" applyProtection="1">
      <alignment horizontal="center" vertical="center"/>
      <protection locked="0"/>
    </xf>
    <xf numFmtId="0" fontId="3" fillId="2" borderId="5" xfId="1" applyFont="1" applyFill="1" applyBorder="1" applyAlignment="1" applyProtection="1">
      <alignment horizontal="center" vertical="center"/>
      <protection locked="0"/>
    </xf>
    <xf numFmtId="0" fontId="3" fillId="2" borderId="0" xfId="1" applyFont="1" applyFill="1" applyBorder="1" applyAlignment="1" applyProtection="1">
      <alignment horizontal="center" vertical="center"/>
      <protection locked="0"/>
    </xf>
    <xf numFmtId="1" fontId="3" fillId="2" borderId="3" xfId="0" applyNumberFormat="1" applyFont="1" applyFill="1" applyBorder="1"/>
    <xf numFmtId="1" fontId="2" fillId="2" borderId="0" xfId="0" applyNumberFormat="1" applyFont="1" applyFill="1"/>
    <xf numFmtId="1" fontId="3" fillId="2" borderId="0" xfId="0" applyNumberFormat="1" applyFont="1" applyFill="1"/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2:U52"/>
  <sheetViews>
    <sheetView tabSelected="1" workbookViewId="0">
      <pane xSplit="3" ySplit="5" topLeftCell="I30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T19" sqref="T19:U19"/>
    </sheetView>
  </sheetViews>
  <sheetFormatPr defaultColWidth="8.88671875" defaultRowHeight="13.2" x14ac:dyDescent="0.25"/>
  <cols>
    <col min="1" max="1" width="3" style="5" bestFit="1" customWidth="1"/>
    <col min="2" max="2" width="5" style="1" customWidth="1"/>
    <col min="3" max="3" width="45" style="1" customWidth="1"/>
    <col min="4" max="4" width="9.6640625" style="1" customWidth="1"/>
    <col min="5" max="5" width="11.33203125" style="1" customWidth="1"/>
    <col min="6" max="9" width="10" style="1" bestFit="1" customWidth="1"/>
    <col min="10" max="10" width="8.44140625" style="1" customWidth="1"/>
    <col min="11" max="11" width="7.6640625" style="1" customWidth="1"/>
    <col min="12" max="12" width="10.6640625" style="1" customWidth="1"/>
    <col min="13" max="13" width="11.88671875" style="1" customWidth="1"/>
    <col min="14" max="14" width="10" style="1" bestFit="1" customWidth="1"/>
    <col min="15" max="15" width="10.88671875" style="1" customWidth="1"/>
    <col min="16" max="16" width="10" style="1" bestFit="1" customWidth="1"/>
    <col min="17" max="17" width="10.33203125" style="1" customWidth="1"/>
    <col min="18" max="18" width="8.33203125" style="1" customWidth="1"/>
    <col min="19" max="19" width="9.33203125" style="1" customWidth="1"/>
    <col min="20" max="20" width="12.33203125" style="1" customWidth="1"/>
    <col min="21" max="21" width="12.44140625" style="1" customWidth="1"/>
    <col min="22" max="16384" width="8.88671875" style="1"/>
  </cols>
  <sheetData>
    <row r="2" spans="1:21" x14ac:dyDescent="0.25">
      <c r="B2" s="17"/>
      <c r="C2" s="22"/>
      <c r="D2" s="17"/>
      <c r="E2" s="17"/>
      <c r="F2" s="23" t="s">
        <v>0</v>
      </c>
      <c r="G2" s="25"/>
      <c r="H2" s="25"/>
      <c r="I2" s="25"/>
      <c r="J2" s="25"/>
      <c r="K2" s="25"/>
      <c r="L2" s="25"/>
      <c r="M2" s="24"/>
      <c r="N2" s="26" t="s">
        <v>1</v>
      </c>
      <c r="O2" s="27"/>
      <c r="P2" s="27"/>
      <c r="Q2" s="27"/>
      <c r="R2" s="27"/>
      <c r="S2" s="27"/>
      <c r="T2" s="27"/>
      <c r="U2" s="27"/>
    </row>
    <row r="3" spans="1:21" x14ac:dyDescent="0.25">
      <c r="B3" s="17"/>
      <c r="C3" s="22"/>
      <c r="D3" s="17" t="s">
        <v>2</v>
      </c>
      <c r="E3" s="17" t="s">
        <v>3</v>
      </c>
      <c r="F3" s="23" t="s">
        <v>4</v>
      </c>
      <c r="G3" s="25"/>
      <c r="H3" s="25"/>
      <c r="I3" s="25"/>
      <c r="J3" s="25"/>
      <c r="K3" s="25"/>
      <c r="L3" s="25"/>
      <c r="M3" s="24"/>
      <c r="N3" s="26" t="s">
        <v>4</v>
      </c>
      <c r="O3" s="27"/>
      <c r="P3" s="27"/>
      <c r="Q3" s="27"/>
      <c r="R3" s="27"/>
      <c r="S3" s="27"/>
      <c r="T3" s="27"/>
      <c r="U3" s="27"/>
    </row>
    <row r="4" spans="1:21" x14ac:dyDescent="0.25">
      <c r="B4" s="17"/>
      <c r="C4" s="22"/>
      <c r="D4" s="17"/>
      <c r="E4" s="17"/>
      <c r="F4" s="17" t="s">
        <v>5</v>
      </c>
      <c r="G4" s="17"/>
      <c r="H4" s="17" t="s">
        <v>6</v>
      </c>
      <c r="I4" s="17"/>
      <c r="J4" s="22" t="s">
        <v>7</v>
      </c>
      <c r="K4" s="22"/>
      <c r="L4" s="23" t="s">
        <v>56</v>
      </c>
      <c r="M4" s="24"/>
      <c r="N4" s="17" t="s">
        <v>5</v>
      </c>
      <c r="O4" s="17"/>
      <c r="P4" s="17" t="s">
        <v>6</v>
      </c>
      <c r="Q4" s="17"/>
      <c r="R4" s="22" t="s">
        <v>7</v>
      </c>
      <c r="S4" s="22"/>
      <c r="T4" s="23" t="s">
        <v>56</v>
      </c>
      <c r="U4" s="24"/>
    </row>
    <row r="5" spans="1:21" s="2" customFormat="1" ht="40.5" customHeight="1" x14ac:dyDescent="0.3">
      <c r="A5" s="6"/>
      <c r="B5" s="17"/>
      <c r="C5" s="22"/>
      <c r="D5" s="17"/>
      <c r="E5" s="17"/>
      <c r="F5" s="7" t="s">
        <v>8</v>
      </c>
      <c r="G5" s="7" t="s">
        <v>9</v>
      </c>
      <c r="H5" s="7" t="s">
        <v>8</v>
      </c>
      <c r="I5" s="7" t="s">
        <v>9</v>
      </c>
      <c r="J5" s="7" t="s">
        <v>8</v>
      </c>
      <c r="K5" s="7" t="s">
        <v>9</v>
      </c>
      <c r="L5" s="7" t="s">
        <v>8</v>
      </c>
      <c r="M5" s="7" t="s">
        <v>9</v>
      </c>
      <c r="N5" s="7" t="s">
        <v>8</v>
      </c>
      <c r="O5" s="7" t="s">
        <v>9</v>
      </c>
      <c r="P5" s="7" t="s">
        <v>8</v>
      </c>
      <c r="Q5" s="7" t="s">
        <v>9</v>
      </c>
      <c r="R5" s="7" t="s">
        <v>8</v>
      </c>
      <c r="S5" s="7" t="s">
        <v>9</v>
      </c>
      <c r="T5" s="7" t="s">
        <v>8</v>
      </c>
      <c r="U5" s="7" t="s">
        <v>9</v>
      </c>
    </row>
    <row r="6" spans="1:21" x14ac:dyDescent="0.25">
      <c r="B6" s="8" t="s">
        <v>10</v>
      </c>
      <c r="C6" s="10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21" x14ac:dyDescent="0.25">
      <c r="B7" s="11">
        <v>1</v>
      </c>
      <c r="C7" s="12" t="s">
        <v>11</v>
      </c>
      <c r="D7" s="3">
        <v>1578148</v>
      </c>
      <c r="E7" s="3">
        <v>78440427</v>
      </c>
      <c r="F7" s="3">
        <v>2018680</v>
      </c>
      <c r="G7" s="3">
        <v>6803665.3628400005</v>
      </c>
      <c r="H7" s="3">
        <v>1846731</v>
      </c>
      <c r="I7" s="3">
        <v>9081465.7943099998</v>
      </c>
      <c r="J7" s="3">
        <v>0</v>
      </c>
      <c r="K7" s="3">
        <v>0</v>
      </c>
      <c r="L7" s="3">
        <f>F7+H7+J7</f>
        <v>3865411</v>
      </c>
      <c r="M7" s="3">
        <f>K7+I7+G7</f>
        <v>15885131.15715</v>
      </c>
      <c r="N7" s="3">
        <v>7854396</v>
      </c>
      <c r="O7" s="3">
        <v>16270463.89154</v>
      </c>
      <c r="P7" s="3">
        <v>2629862</v>
      </c>
      <c r="Q7" s="3">
        <v>6609255.6517400043</v>
      </c>
      <c r="R7" s="3">
        <v>6</v>
      </c>
      <c r="S7" s="3">
        <v>15.5</v>
      </c>
      <c r="T7" s="29">
        <f>N7+P7+R7</f>
        <v>10484264</v>
      </c>
      <c r="U7" s="29">
        <f>S7+Q7+O7</f>
        <v>22879735.043280005</v>
      </c>
    </row>
    <row r="8" spans="1:21" x14ac:dyDescent="0.25">
      <c r="B8" s="11">
        <v>2</v>
      </c>
      <c r="C8" s="12" t="s">
        <v>12</v>
      </c>
      <c r="D8" s="3">
        <v>84114</v>
      </c>
      <c r="E8" s="3">
        <v>45831608</v>
      </c>
      <c r="F8" s="3">
        <v>153976</v>
      </c>
      <c r="G8" s="3">
        <v>560464.26399999997</v>
      </c>
      <c r="H8" s="3">
        <v>78502</v>
      </c>
      <c r="I8" s="3">
        <v>277541.70325000002</v>
      </c>
      <c r="J8" s="3">
        <v>0</v>
      </c>
      <c r="K8" s="3">
        <v>0</v>
      </c>
      <c r="L8" s="3">
        <f t="shared" ref="L8:L51" si="0">F8+H8+J8</f>
        <v>232478</v>
      </c>
      <c r="M8" s="3">
        <f t="shared" ref="M8:M51" si="1">K8+I8+G8</f>
        <v>838005.96724999999</v>
      </c>
      <c r="N8" s="3">
        <v>5152534</v>
      </c>
      <c r="O8" s="3">
        <v>9671955.213440001</v>
      </c>
      <c r="P8" s="3">
        <v>1820852</v>
      </c>
      <c r="Q8" s="3">
        <v>2859806.96386</v>
      </c>
      <c r="R8" s="3">
        <v>0</v>
      </c>
      <c r="S8" s="3">
        <v>0</v>
      </c>
      <c r="T8" s="29">
        <f t="shared" ref="T8:T51" si="2">N8+P8+R8</f>
        <v>6973386</v>
      </c>
      <c r="U8" s="29">
        <f t="shared" ref="U8:U51" si="3">S8+Q8+O8</f>
        <v>12531762.177300001</v>
      </c>
    </row>
    <row r="9" spans="1:21" x14ac:dyDescent="0.25">
      <c r="B9" s="11">
        <v>3</v>
      </c>
      <c r="C9" s="12" t="s">
        <v>13</v>
      </c>
      <c r="D9" s="3">
        <v>77883</v>
      </c>
      <c r="E9" s="3">
        <v>13155196</v>
      </c>
      <c r="F9" s="3">
        <v>67228</v>
      </c>
      <c r="G9" s="3">
        <v>273740.86361001979</v>
      </c>
      <c r="H9" s="3">
        <v>24368</v>
      </c>
      <c r="I9" s="3">
        <v>123415.65572999838</v>
      </c>
      <c r="J9" s="3">
        <v>0</v>
      </c>
      <c r="K9" s="3">
        <v>0</v>
      </c>
      <c r="L9" s="3">
        <f t="shared" si="0"/>
        <v>91596</v>
      </c>
      <c r="M9" s="3">
        <f t="shared" si="1"/>
        <v>397156.51934001816</v>
      </c>
      <c r="N9" s="3">
        <v>2461200</v>
      </c>
      <c r="O9" s="3">
        <v>4372414.1053299997</v>
      </c>
      <c r="P9" s="3">
        <v>847234</v>
      </c>
      <c r="Q9" s="3">
        <v>1230407.7981500002</v>
      </c>
      <c r="R9" s="3">
        <v>9443</v>
      </c>
      <c r="S9" s="3">
        <v>109185.63748999999</v>
      </c>
      <c r="T9" s="29">
        <f t="shared" si="2"/>
        <v>3317877</v>
      </c>
      <c r="U9" s="29">
        <f t="shared" si="3"/>
        <v>5712007.5409699995</v>
      </c>
    </row>
    <row r="10" spans="1:21" x14ac:dyDescent="0.25">
      <c r="B10" s="11">
        <v>4</v>
      </c>
      <c r="C10" s="12" t="s">
        <v>14</v>
      </c>
      <c r="D10" s="3">
        <v>569338</v>
      </c>
      <c r="E10" s="3">
        <v>47982447</v>
      </c>
      <c r="F10" s="3">
        <v>762577</v>
      </c>
      <c r="G10" s="3">
        <v>2147905.6540000001</v>
      </c>
      <c r="H10" s="3">
        <v>292596</v>
      </c>
      <c r="I10" s="3">
        <v>1056858.5449999999</v>
      </c>
      <c r="J10" s="3">
        <v>0</v>
      </c>
      <c r="K10" s="3">
        <v>0</v>
      </c>
      <c r="L10" s="3">
        <f t="shared" si="0"/>
        <v>1055173</v>
      </c>
      <c r="M10" s="3">
        <f t="shared" si="1"/>
        <v>3204764.199</v>
      </c>
      <c r="N10" s="3">
        <v>10053944</v>
      </c>
      <c r="O10" s="3">
        <v>21633053.397</v>
      </c>
      <c r="P10" s="3">
        <v>3254501</v>
      </c>
      <c r="Q10" s="3">
        <v>6306768.1619999995</v>
      </c>
      <c r="R10" s="3">
        <v>5362</v>
      </c>
      <c r="S10" s="3">
        <v>84014.026500000007</v>
      </c>
      <c r="T10" s="29">
        <f t="shared" si="2"/>
        <v>13313807</v>
      </c>
      <c r="U10" s="29">
        <f t="shared" si="3"/>
        <v>28023835.585499998</v>
      </c>
    </row>
    <row r="11" spans="1:21" x14ac:dyDescent="0.25">
      <c r="B11" s="11">
        <v>5</v>
      </c>
      <c r="C11" s="12" t="s">
        <v>15</v>
      </c>
      <c r="D11" s="3">
        <v>0</v>
      </c>
      <c r="E11" s="3">
        <v>27369834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f t="shared" si="0"/>
        <v>0</v>
      </c>
      <c r="M11" s="3">
        <f t="shared" si="1"/>
        <v>0</v>
      </c>
      <c r="N11" s="3">
        <v>3244278</v>
      </c>
      <c r="O11" s="3">
        <v>7373003.6569999997</v>
      </c>
      <c r="P11" s="3">
        <v>637414</v>
      </c>
      <c r="Q11" s="3">
        <v>1308138.801</v>
      </c>
      <c r="R11" s="3">
        <v>0</v>
      </c>
      <c r="S11" s="3">
        <v>0</v>
      </c>
      <c r="T11" s="29">
        <f t="shared" si="2"/>
        <v>3881692</v>
      </c>
      <c r="U11" s="29">
        <f t="shared" si="3"/>
        <v>8681142.4580000006</v>
      </c>
    </row>
    <row r="12" spans="1:21" x14ac:dyDescent="0.25">
      <c r="B12" s="11">
        <v>6</v>
      </c>
      <c r="C12" s="12" t="s">
        <v>16</v>
      </c>
      <c r="D12" s="3">
        <v>158707</v>
      </c>
      <c r="E12" s="3">
        <v>28816092</v>
      </c>
      <c r="F12" s="3">
        <v>141888</v>
      </c>
      <c r="G12" s="3">
        <v>477248.16100000002</v>
      </c>
      <c r="H12" s="3">
        <v>68777</v>
      </c>
      <c r="I12" s="3">
        <v>245173.348</v>
      </c>
      <c r="J12" s="3">
        <v>0</v>
      </c>
      <c r="K12" s="3">
        <v>0</v>
      </c>
      <c r="L12" s="3">
        <f t="shared" si="0"/>
        <v>210665</v>
      </c>
      <c r="M12" s="3">
        <f t="shared" si="1"/>
        <v>722421.50900000008</v>
      </c>
      <c r="N12" s="3">
        <v>5851753</v>
      </c>
      <c r="O12" s="3">
        <v>11793000</v>
      </c>
      <c r="P12" s="3">
        <v>2303106</v>
      </c>
      <c r="Q12" s="3">
        <v>3770940.47</v>
      </c>
      <c r="R12" s="3">
        <v>5330</v>
      </c>
      <c r="S12" s="3">
        <v>81379.901599999997</v>
      </c>
      <c r="T12" s="29">
        <f t="shared" si="2"/>
        <v>8160189</v>
      </c>
      <c r="U12" s="29">
        <f t="shared" si="3"/>
        <v>15645320.3716</v>
      </c>
    </row>
    <row r="13" spans="1:21" x14ac:dyDescent="0.25">
      <c r="B13" s="11">
        <v>7</v>
      </c>
      <c r="C13" s="12" t="s">
        <v>17</v>
      </c>
      <c r="D13" s="3">
        <v>72693</v>
      </c>
      <c r="E13" s="3">
        <v>15580464</v>
      </c>
      <c r="F13" s="3">
        <v>71114</v>
      </c>
      <c r="G13" s="3">
        <v>186195.58410000001</v>
      </c>
      <c r="H13" s="3">
        <v>26241</v>
      </c>
      <c r="I13" s="3">
        <v>69922.274999999994</v>
      </c>
      <c r="J13" s="3">
        <v>0</v>
      </c>
      <c r="K13" s="3">
        <v>0</v>
      </c>
      <c r="L13" s="3">
        <f t="shared" si="0"/>
        <v>97355</v>
      </c>
      <c r="M13" s="3">
        <f t="shared" si="1"/>
        <v>256117.8591</v>
      </c>
      <c r="N13" s="3">
        <v>3890314</v>
      </c>
      <c r="O13" s="3">
        <v>7558803.9702599999</v>
      </c>
      <c r="P13" s="3">
        <v>1042420</v>
      </c>
      <c r="Q13" s="3">
        <v>1830368.4140099999</v>
      </c>
      <c r="R13" s="3">
        <v>0</v>
      </c>
      <c r="S13" s="3">
        <v>0</v>
      </c>
      <c r="T13" s="29">
        <f t="shared" si="2"/>
        <v>4932734</v>
      </c>
      <c r="U13" s="29">
        <f t="shared" si="3"/>
        <v>9389172.3842699993</v>
      </c>
    </row>
    <row r="14" spans="1:21" x14ac:dyDescent="0.25">
      <c r="B14" s="11">
        <v>8</v>
      </c>
      <c r="C14" s="12" t="s">
        <v>18</v>
      </c>
      <c r="D14" s="3">
        <v>0</v>
      </c>
      <c r="E14" s="3">
        <v>3579375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f t="shared" si="0"/>
        <v>0</v>
      </c>
      <c r="M14" s="3">
        <f t="shared" si="1"/>
        <v>0</v>
      </c>
      <c r="N14" s="3">
        <v>518911</v>
      </c>
      <c r="O14" s="3">
        <v>1255517.1741399998</v>
      </c>
      <c r="P14" s="3">
        <v>273173</v>
      </c>
      <c r="Q14" s="3">
        <v>693380.48575999995</v>
      </c>
      <c r="R14" s="3">
        <v>0</v>
      </c>
      <c r="S14" s="3">
        <v>0</v>
      </c>
      <c r="T14" s="29">
        <f t="shared" si="2"/>
        <v>792084</v>
      </c>
      <c r="U14" s="29">
        <f t="shared" si="3"/>
        <v>1948897.6598999999</v>
      </c>
    </row>
    <row r="15" spans="1:21" x14ac:dyDescent="0.25">
      <c r="B15" s="11">
        <v>9</v>
      </c>
      <c r="C15" s="12" t="s">
        <v>19</v>
      </c>
      <c r="D15" s="3">
        <v>344956</v>
      </c>
      <c r="E15" s="3">
        <v>45911797</v>
      </c>
      <c r="F15" s="3">
        <v>478356</v>
      </c>
      <c r="G15" s="3">
        <v>1605629.31797</v>
      </c>
      <c r="H15" s="3">
        <v>188325</v>
      </c>
      <c r="I15" s="3">
        <v>662938.15655999992</v>
      </c>
      <c r="J15" s="3">
        <v>0</v>
      </c>
      <c r="K15" s="3">
        <v>0</v>
      </c>
      <c r="L15" s="3">
        <f t="shared" si="0"/>
        <v>666681</v>
      </c>
      <c r="M15" s="3">
        <f t="shared" si="1"/>
        <v>2268567.4745299998</v>
      </c>
      <c r="N15" s="3">
        <v>8097599</v>
      </c>
      <c r="O15" s="3">
        <v>18701391.40106</v>
      </c>
      <c r="P15" s="3">
        <v>4175528</v>
      </c>
      <c r="Q15" s="3">
        <v>7745493.5723100007</v>
      </c>
      <c r="R15" s="3">
        <v>0</v>
      </c>
      <c r="S15" s="3">
        <v>0</v>
      </c>
      <c r="T15" s="29">
        <f t="shared" si="2"/>
        <v>12273127</v>
      </c>
      <c r="U15" s="29">
        <f t="shared" si="3"/>
        <v>26446884.973370001</v>
      </c>
    </row>
    <row r="16" spans="1:21" x14ac:dyDescent="0.25">
      <c r="B16" s="11">
        <v>10</v>
      </c>
      <c r="C16" s="12" t="s">
        <v>20</v>
      </c>
      <c r="D16" s="3">
        <v>15167195</v>
      </c>
      <c r="E16" s="3">
        <v>277289229</v>
      </c>
      <c r="F16" s="3">
        <v>26639486</v>
      </c>
      <c r="G16" s="3">
        <v>85536478.709999993</v>
      </c>
      <c r="H16" s="3">
        <v>19970671</v>
      </c>
      <c r="I16" s="3">
        <v>147487278.37200001</v>
      </c>
      <c r="J16" s="3">
        <v>0</v>
      </c>
      <c r="K16" s="3">
        <v>0</v>
      </c>
      <c r="L16" s="3">
        <f t="shared" si="0"/>
        <v>46610157</v>
      </c>
      <c r="M16" s="3">
        <f t="shared" si="1"/>
        <v>233023757.08200002</v>
      </c>
      <c r="N16" s="3">
        <v>59223251</v>
      </c>
      <c r="O16" s="3">
        <v>130191354.29369999</v>
      </c>
      <c r="P16" s="3">
        <v>25772012</v>
      </c>
      <c r="Q16" s="3">
        <v>49138829.354480006</v>
      </c>
      <c r="R16" s="3">
        <v>1987</v>
      </c>
      <c r="S16" s="3">
        <v>26333.346389999999</v>
      </c>
      <c r="T16" s="29">
        <f t="shared" si="2"/>
        <v>84997250</v>
      </c>
      <c r="U16" s="29">
        <f t="shared" si="3"/>
        <v>179356516.99457002</v>
      </c>
    </row>
    <row r="17" spans="2:21" x14ac:dyDescent="0.25">
      <c r="B17" s="11">
        <v>11</v>
      </c>
      <c r="C17" s="12" t="s">
        <v>21</v>
      </c>
      <c r="D17" s="3">
        <v>0</v>
      </c>
      <c r="E17" s="3">
        <v>11942836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f t="shared" si="0"/>
        <v>0</v>
      </c>
      <c r="M17" s="3">
        <f t="shared" si="1"/>
        <v>0</v>
      </c>
      <c r="N17" s="3">
        <v>2278642</v>
      </c>
      <c r="O17" s="3">
        <v>4558360.8760000002</v>
      </c>
      <c r="P17" s="3">
        <v>550878</v>
      </c>
      <c r="Q17" s="3">
        <v>1241290.9539999999</v>
      </c>
      <c r="R17" s="3">
        <v>1007</v>
      </c>
      <c r="S17" s="3">
        <v>15979.74</v>
      </c>
      <c r="T17" s="29">
        <f t="shared" si="2"/>
        <v>2830527</v>
      </c>
      <c r="U17" s="29">
        <f t="shared" si="3"/>
        <v>5815631.5700000003</v>
      </c>
    </row>
    <row r="18" spans="2:21" x14ac:dyDescent="0.25">
      <c r="B18" s="11">
        <v>12</v>
      </c>
      <c r="C18" s="12" t="s">
        <v>22</v>
      </c>
      <c r="D18" s="3">
        <v>546486</v>
      </c>
      <c r="E18" s="3">
        <v>50324328</v>
      </c>
      <c r="F18" s="3">
        <v>544302</v>
      </c>
      <c r="G18" s="3">
        <v>1830000</v>
      </c>
      <c r="H18" s="3">
        <v>298526</v>
      </c>
      <c r="I18" s="3">
        <v>1130000</v>
      </c>
      <c r="J18" s="3">
        <v>0</v>
      </c>
      <c r="K18" s="3">
        <v>0</v>
      </c>
      <c r="L18" s="3">
        <f t="shared" si="0"/>
        <v>842828</v>
      </c>
      <c r="M18" s="3">
        <f t="shared" si="1"/>
        <v>2960000</v>
      </c>
      <c r="N18" s="3">
        <v>10329332</v>
      </c>
      <c r="O18" s="3">
        <v>18300000</v>
      </c>
      <c r="P18" s="3">
        <v>5876434</v>
      </c>
      <c r="Q18" s="3">
        <v>10100000</v>
      </c>
      <c r="R18" s="3">
        <v>3431</v>
      </c>
      <c r="S18" s="3">
        <v>12888.23</v>
      </c>
      <c r="T18" s="29">
        <f t="shared" si="2"/>
        <v>16209197</v>
      </c>
      <c r="U18" s="29">
        <f t="shared" si="3"/>
        <v>28412888.23</v>
      </c>
    </row>
    <row r="19" spans="2:21" x14ac:dyDescent="0.25">
      <c r="B19" s="8" t="s">
        <v>23</v>
      </c>
      <c r="C19" s="10"/>
      <c r="D19" s="9"/>
      <c r="E19" s="9"/>
      <c r="F19" s="9"/>
      <c r="G19" s="9"/>
      <c r="H19" s="9"/>
      <c r="I19" s="9"/>
      <c r="J19" s="9"/>
      <c r="K19" s="9"/>
      <c r="L19" s="3"/>
      <c r="M19" s="3"/>
      <c r="N19" s="3"/>
      <c r="O19" s="3"/>
      <c r="P19" s="3"/>
      <c r="Q19" s="3"/>
      <c r="R19" s="3"/>
      <c r="S19" s="3"/>
      <c r="T19" s="29"/>
      <c r="U19" s="29"/>
    </row>
    <row r="20" spans="2:21" x14ac:dyDescent="0.25">
      <c r="B20" s="11">
        <v>13</v>
      </c>
      <c r="C20" s="12" t="s">
        <v>24</v>
      </c>
      <c r="D20" s="3">
        <v>9086186</v>
      </c>
      <c r="E20" s="3">
        <v>27975510</v>
      </c>
      <c r="F20" s="13">
        <v>19263463</v>
      </c>
      <c r="G20" s="13">
        <v>58851746.209799998</v>
      </c>
      <c r="H20" s="13">
        <v>12387408</v>
      </c>
      <c r="I20" s="13">
        <v>54311161.718209997</v>
      </c>
      <c r="J20" s="3">
        <v>0</v>
      </c>
      <c r="K20" s="3">
        <v>0</v>
      </c>
      <c r="L20" s="3">
        <f t="shared" si="0"/>
        <v>31650871</v>
      </c>
      <c r="M20" s="3">
        <f t="shared" si="1"/>
        <v>113162907.92800999</v>
      </c>
      <c r="N20" s="3">
        <v>11342472</v>
      </c>
      <c r="O20" s="3">
        <v>29258451.784000002</v>
      </c>
      <c r="P20" s="3">
        <v>4678152</v>
      </c>
      <c r="Q20" s="3">
        <v>14431748.358999999</v>
      </c>
      <c r="R20" s="3">
        <v>18994</v>
      </c>
      <c r="S20" s="3">
        <v>472740.14980000001</v>
      </c>
      <c r="T20" s="29">
        <f t="shared" si="2"/>
        <v>16039618</v>
      </c>
      <c r="U20" s="29">
        <f t="shared" si="3"/>
        <v>44162940.292800002</v>
      </c>
    </row>
    <row r="21" spans="2:21" x14ac:dyDescent="0.25">
      <c r="B21" s="11">
        <v>14</v>
      </c>
      <c r="C21" s="12" t="s">
        <v>25</v>
      </c>
      <c r="D21" s="3">
        <v>0</v>
      </c>
      <c r="E21" s="3">
        <v>5226993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f t="shared" si="0"/>
        <v>0</v>
      </c>
      <c r="M21" s="3">
        <f t="shared" si="1"/>
        <v>0</v>
      </c>
      <c r="N21" s="3">
        <v>550669</v>
      </c>
      <c r="O21" s="3">
        <v>1420948.1406899998</v>
      </c>
      <c r="P21" s="3">
        <v>248807</v>
      </c>
      <c r="Q21" s="3">
        <v>672174.18502000021</v>
      </c>
      <c r="R21" s="3">
        <v>0</v>
      </c>
      <c r="S21" s="3">
        <v>0</v>
      </c>
      <c r="T21" s="29">
        <f t="shared" si="2"/>
        <v>799476</v>
      </c>
      <c r="U21" s="29">
        <f t="shared" si="3"/>
        <v>2093122.32571</v>
      </c>
    </row>
    <row r="22" spans="2:21" x14ac:dyDescent="0.25">
      <c r="B22" s="11">
        <v>15</v>
      </c>
      <c r="C22" s="12" t="s">
        <v>26</v>
      </c>
      <c r="D22" s="3">
        <v>1767</v>
      </c>
      <c r="E22" s="3">
        <v>2660153</v>
      </c>
      <c r="F22" s="3">
        <v>1725</v>
      </c>
      <c r="G22" s="3">
        <v>4151.8097299999999</v>
      </c>
      <c r="H22" s="3">
        <v>432</v>
      </c>
      <c r="I22" s="3">
        <v>1675.8617899999999</v>
      </c>
      <c r="J22" s="3">
        <v>0</v>
      </c>
      <c r="K22" s="3">
        <v>0</v>
      </c>
      <c r="L22" s="3">
        <f t="shared" si="0"/>
        <v>2157</v>
      </c>
      <c r="M22" s="3">
        <f t="shared" si="1"/>
        <v>5827.6715199999999</v>
      </c>
      <c r="N22" s="3">
        <v>966000</v>
      </c>
      <c r="O22" s="3">
        <v>1991106.2149</v>
      </c>
      <c r="P22" s="3">
        <v>145956</v>
      </c>
      <c r="Q22" s="3">
        <v>283909.95464999997</v>
      </c>
      <c r="R22" s="3">
        <v>0</v>
      </c>
      <c r="S22" s="3">
        <v>0</v>
      </c>
      <c r="T22" s="29">
        <f t="shared" si="2"/>
        <v>1111956</v>
      </c>
      <c r="U22" s="29">
        <f t="shared" si="3"/>
        <v>2275016.1695499998</v>
      </c>
    </row>
    <row r="23" spans="2:21" x14ac:dyDescent="0.25">
      <c r="B23" s="11">
        <v>16</v>
      </c>
      <c r="C23" s="12" t="s">
        <v>27</v>
      </c>
      <c r="D23" s="3">
        <v>0</v>
      </c>
      <c r="E23" s="3">
        <v>845416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f t="shared" si="0"/>
        <v>0</v>
      </c>
      <c r="M23" s="3">
        <f t="shared" si="1"/>
        <v>0</v>
      </c>
      <c r="N23" s="3">
        <v>252733</v>
      </c>
      <c r="O23" s="3">
        <v>441764.1544</v>
      </c>
      <c r="P23" s="3">
        <v>38892</v>
      </c>
      <c r="Q23" s="3">
        <v>77136.965379999994</v>
      </c>
      <c r="R23" s="3">
        <v>2</v>
      </c>
      <c r="S23" s="3">
        <v>1.4</v>
      </c>
      <c r="T23" s="29">
        <f t="shared" si="2"/>
        <v>291627</v>
      </c>
      <c r="U23" s="29">
        <f t="shared" si="3"/>
        <v>518902.51977999997</v>
      </c>
    </row>
    <row r="24" spans="2:21" x14ac:dyDescent="0.25">
      <c r="B24" s="11">
        <v>17</v>
      </c>
      <c r="C24" s="12" t="s">
        <v>28</v>
      </c>
      <c r="D24" s="3">
        <v>0</v>
      </c>
      <c r="E24" s="3">
        <v>940951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f t="shared" si="0"/>
        <v>0</v>
      </c>
      <c r="M24" s="3">
        <f t="shared" si="1"/>
        <v>0</v>
      </c>
      <c r="N24" s="3">
        <v>167194</v>
      </c>
      <c r="O24" s="3">
        <v>417695.51</v>
      </c>
      <c r="P24" s="3">
        <v>33896</v>
      </c>
      <c r="Q24" s="3">
        <v>136225.74400000001</v>
      </c>
      <c r="R24" s="3">
        <v>418</v>
      </c>
      <c r="S24" s="3">
        <v>13462.849</v>
      </c>
      <c r="T24" s="29">
        <f t="shared" si="2"/>
        <v>201508</v>
      </c>
      <c r="U24" s="29">
        <f t="shared" si="3"/>
        <v>567384.103</v>
      </c>
    </row>
    <row r="25" spans="2:21" x14ac:dyDescent="0.25">
      <c r="B25" s="11">
        <v>18</v>
      </c>
      <c r="C25" s="12" t="s">
        <v>29</v>
      </c>
      <c r="D25" s="3">
        <v>8199</v>
      </c>
      <c r="E25" s="3">
        <v>516483</v>
      </c>
      <c r="F25" s="3">
        <v>21283</v>
      </c>
      <c r="G25" s="3">
        <v>44732.795149999998</v>
      </c>
      <c r="H25" s="3">
        <v>6077</v>
      </c>
      <c r="I25" s="3">
        <v>19269.543859999998</v>
      </c>
      <c r="J25" s="3">
        <v>1</v>
      </c>
      <c r="K25" s="3">
        <v>1.534</v>
      </c>
      <c r="L25" s="3">
        <f t="shared" si="0"/>
        <v>27361</v>
      </c>
      <c r="M25" s="3">
        <f t="shared" si="1"/>
        <v>64003.873009999996</v>
      </c>
      <c r="N25" s="3">
        <v>266343</v>
      </c>
      <c r="O25" s="3">
        <v>419032.9963</v>
      </c>
      <c r="P25" s="3">
        <v>26678</v>
      </c>
      <c r="Q25" s="3">
        <v>65767.839560000008</v>
      </c>
      <c r="R25" s="3">
        <v>0</v>
      </c>
      <c r="S25" s="3">
        <v>0</v>
      </c>
      <c r="T25" s="29">
        <f t="shared" si="2"/>
        <v>293021</v>
      </c>
      <c r="U25" s="29">
        <f t="shared" si="3"/>
        <v>484800.83585999999</v>
      </c>
    </row>
    <row r="26" spans="2:21" x14ac:dyDescent="0.25">
      <c r="B26" s="11">
        <v>19</v>
      </c>
      <c r="C26" s="12" t="s">
        <v>30</v>
      </c>
      <c r="D26" s="3">
        <v>370543</v>
      </c>
      <c r="E26" s="3">
        <v>12325632</v>
      </c>
      <c r="F26" s="3">
        <v>837401</v>
      </c>
      <c r="G26" s="3">
        <v>2784366.5807699999</v>
      </c>
      <c r="H26" s="3">
        <v>820465</v>
      </c>
      <c r="I26" s="3">
        <v>4571318.9720000001</v>
      </c>
      <c r="J26" s="3">
        <v>0</v>
      </c>
      <c r="K26" s="3">
        <v>0</v>
      </c>
      <c r="L26" s="3">
        <f t="shared" si="0"/>
        <v>1657866</v>
      </c>
      <c r="M26" s="3">
        <f t="shared" si="1"/>
        <v>7355685.55277</v>
      </c>
      <c r="N26" s="3">
        <v>5253527</v>
      </c>
      <c r="O26" s="3">
        <v>9205066.7699999996</v>
      </c>
      <c r="P26" s="3">
        <v>1844641</v>
      </c>
      <c r="Q26" s="3">
        <v>4681996.9220000003</v>
      </c>
      <c r="R26" s="3">
        <v>2335</v>
      </c>
      <c r="S26" s="3">
        <v>26860.537499999999</v>
      </c>
      <c r="T26" s="29">
        <f t="shared" si="2"/>
        <v>7100503</v>
      </c>
      <c r="U26" s="29">
        <f t="shared" si="3"/>
        <v>13913924.229499999</v>
      </c>
    </row>
    <row r="27" spans="2:21" x14ac:dyDescent="0.25">
      <c r="B27" s="11">
        <v>20</v>
      </c>
      <c r="C27" s="12" t="s">
        <v>31</v>
      </c>
      <c r="D27" s="3">
        <v>16546501</v>
      </c>
      <c r="E27" s="3">
        <v>48032697</v>
      </c>
      <c r="F27" s="3">
        <v>34794236</v>
      </c>
      <c r="G27" s="3">
        <v>151572966.67278001</v>
      </c>
      <c r="H27" s="3">
        <v>28690313</v>
      </c>
      <c r="I27" s="3">
        <v>223760722.26174</v>
      </c>
      <c r="J27" s="3">
        <v>0</v>
      </c>
      <c r="K27" s="3">
        <v>0</v>
      </c>
      <c r="L27" s="3">
        <f t="shared" si="0"/>
        <v>63484549</v>
      </c>
      <c r="M27" s="3">
        <f t="shared" si="1"/>
        <v>375333688.93452001</v>
      </c>
      <c r="N27" s="3">
        <v>25038005</v>
      </c>
      <c r="O27" s="3">
        <v>67344230.656130001</v>
      </c>
      <c r="P27" s="3">
        <v>15253012</v>
      </c>
      <c r="Q27" s="3">
        <v>42887650.497380003</v>
      </c>
      <c r="R27" s="3">
        <v>248310</v>
      </c>
      <c r="S27" s="3">
        <v>2269384.5807099999</v>
      </c>
      <c r="T27" s="29">
        <f t="shared" si="2"/>
        <v>40539327</v>
      </c>
      <c r="U27" s="29">
        <f t="shared" si="3"/>
        <v>112501265.73422</v>
      </c>
    </row>
    <row r="28" spans="2:21" x14ac:dyDescent="0.25">
      <c r="B28" s="11">
        <v>21</v>
      </c>
      <c r="C28" s="12" t="s">
        <v>32</v>
      </c>
      <c r="D28" s="3">
        <v>13537626</v>
      </c>
      <c r="E28" s="3">
        <v>35709144</v>
      </c>
      <c r="F28" s="3">
        <v>20052991</v>
      </c>
      <c r="G28" s="3">
        <v>73499926.511000007</v>
      </c>
      <c r="H28" s="3">
        <v>28034174</v>
      </c>
      <c r="I28" s="3">
        <v>143109634.69400001</v>
      </c>
      <c r="J28" s="3">
        <v>53</v>
      </c>
      <c r="K28" s="3">
        <v>2209.4720000000002</v>
      </c>
      <c r="L28" s="3">
        <f t="shared" si="0"/>
        <v>48087218</v>
      </c>
      <c r="M28" s="3">
        <f t="shared" si="1"/>
        <v>216611770.67700002</v>
      </c>
      <c r="N28" s="3">
        <v>16024139</v>
      </c>
      <c r="O28" s="3">
        <v>44758060.215000004</v>
      </c>
      <c r="P28" s="3">
        <v>5864347</v>
      </c>
      <c r="Q28" s="3">
        <v>20463723.708000001</v>
      </c>
      <c r="R28" s="3">
        <v>23293</v>
      </c>
      <c r="S28" s="3">
        <v>214639.66699999999</v>
      </c>
      <c r="T28" s="29">
        <f t="shared" si="2"/>
        <v>21911779</v>
      </c>
      <c r="U28" s="29">
        <f t="shared" si="3"/>
        <v>65436423.590000004</v>
      </c>
    </row>
    <row r="29" spans="2:21" x14ac:dyDescent="0.25">
      <c r="B29" s="11">
        <v>22</v>
      </c>
      <c r="C29" s="12" t="s">
        <v>33</v>
      </c>
      <c r="D29" s="3">
        <v>43375</v>
      </c>
      <c r="E29" s="3">
        <v>12667091</v>
      </c>
      <c r="F29" s="3">
        <v>80740</v>
      </c>
      <c r="G29" s="3">
        <v>270557.36083999998</v>
      </c>
      <c r="H29" s="3">
        <v>43542</v>
      </c>
      <c r="I29" s="3">
        <v>150759.03280000002</v>
      </c>
      <c r="J29" s="3">
        <v>0</v>
      </c>
      <c r="K29" s="3">
        <v>0</v>
      </c>
      <c r="L29" s="3">
        <f t="shared" si="0"/>
        <v>124282</v>
      </c>
      <c r="M29" s="3">
        <f t="shared" si="1"/>
        <v>421316.39364000002</v>
      </c>
      <c r="N29" s="3">
        <v>2697349</v>
      </c>
      <c r="O29" s="3">
        <v>5724670.4058199907</v>
      </c>
      <c r="P29" s="3">
        <v>609002</v>
      </c>
      <c r="Q29" s="3">
        <v>1331527.9322399995</v>
      </c>
      <c r="R29" s="3">
        <v>0</v>
      </c>
      <c r="S29" s="3">
        <v>0</v>
      </c>
      <c r="T29" s="29">
        <f t="shared" si="2"/>
        <v>3306351</v>
      </c>
      <c r="U29" s="29">
        <f t="shared" si="3"/>
        <v>7056198.3380599897</v>
      </c>
    </row>
    <row r="30" spans="2:21" x14ac:dyDescent="0.25">
      <c r="B30" s="11">
        <v>23</v>
      </c>
      <c r="C30" s="12" t="s">
        <v>34</v>
      </c>
      <c r="D30" s="3">
        <v>1269278</v>
      </c>
      <c r="E30" s="3">
        <v>5220963</v>
      </c>
      <c r="F30" s="3">
        <v>1914395</v>
      </c>
      <c r="G30" s="3">
        <v>6790889.639320001</v>
      </c>
      <c r="H30" s="3">
        <v>1434681</v>
      </c>
      <c r="I30" s="3">
        <v>9534604.6113699805</v>
      </c>
      <c r="J30" s="3">
        <v>0</v>
      </c>
      <c r="K30" s="3">
        <v>0</v>
      </c>
      <c r="L30" s="3">
        <f t="shared" si="0"/>
        <v>3349076</v>
      </c>
      <c r="M30" s="3">
        <f t="shared" si="1"/>
        <v>16325494.250689982</v>
      </c>
      <c r="N30" s="3">
        <v>1243033</v>
      </c>
      <c r="O30" s="3">
        <v>2851979.26</v>
      </c>
      <c r="P30" s="3">
        <v>474461</v>
      </c>
      <c r="Q30" s="3">
        <v>2811358.0988900005</v>
      </c>
      <c r="R30" s="3">
        <v>0</v>
      </c>
      <c r="S30" s="3">
        <v>0</v>
      </c>
      <c r="T30" s="29">
        <f t="shared" si="2"/>
        <v>1717494</v>
      </c>
      <c r="U30" s="29">
        <f t="shared" si="3"/>
        <v>5663337.3588900007</v>
      </c>
    </row>
    <row r="31" spans="2:21" x14ac:dyDescent="0.25">
      <c r="B31" s="11">
        <v>24</v>
      </c>
      <c r="C31" s="12" t="s">
        <v>35</v>
      </c>
      <c r="D31" s="3">
        <v>1964481</v>
      </c>
      <c r="E31" s="3">
        <v>7708771</v>
      </c>
      <c r="F31" s="3">
        <v>2786861</v>
      </c>
      <c r="G31" s="3">
        <v>12808063.677999999</v>
      </c>
      <c r="H31" s="3">
        <v>2527489</v>
      </c>
      <c r="I31" s="3">
        <v>61615578.847000003</v>
      </c>
      <c r="J31" s="3">
        <v>0</v>
      </c>
      <c r="K31" s="3">
        <v>0</v>
      </c>
      <c r="L31" s="3">
        <f t="shared" si="0"/>
        <v>5314350</v>
      </c>
      <c r="M31" s="3">
        <f t="shared" si="1"/>
        <v>74423642.525000006</v>
      </c>
      <c r="N31" s="3">
        <v>1645272</v>
      </c>
      <c r="O31" s="3">
        <v>3835055.0060000001</v>
      </c>
      <c r="P31" s="3">
        <v>920266</v>
      </c>
      <c r="Q31" s="3">
        <v>2989955.1329999999</v>
      </c>
      <c r="R31" s="3">
        <v>946</v>
      </c>
      <c r="S31" s="3">
        <v>71354.914839999998</v>
      </c>
      <c r="T31" s="29">
        <f t="shared" si="2"/>
        <v>2566484</v>
      </c>
      <c r="U31" s="29">
        <f t="shared" si="3"/>
        <v>6896365.0538400002</v>
      </c>
    </row>
    <row r="32" spans="2:21" x14ac:dyDescent="0.25">
      <c r="B32" s="11">
        <v>25</v>
      </c>
      <c r="C32" s="12" t="s">
        <v>36</v>
      </c>
      <c r="D32" s="3">
        <v>84034</v>
      </c>
      <c r="E32" s="3">
        <v>3687362</v>
      </c>
      <c r="F32" s="3">
        <v>165545</v>
      </c>
      <c r="G32" s="3">
        <v>1154980.9558899999</v>
      </c>
      <c r="H32" s="3">
        <v>119055</v>
      </c>
      <c r="I32" s="3">
        <v>304244.23298000003</v>
      </c>
      <c r="J32" s="3">
        <v>0</v>
      </c>
      <c r="K32" s="3">
        <v>0</v>
      </c>
      <c r="L32" s="3">
        <f t="shared" si="0"/>
        <v>284600</v>
      </c>
      <c r="M32" s="3">
        <f t="shared" si="1"/>
        <v>1459225.18887</v>
      </c>
      <c r="N32" s="3">
        <v>1806342</v>
      </c>
      <c r="O32" s="3">
        <v>3176868.5730900001</v>
      </c>
      <c r="P32" s="3">
        <v>2726174</v>
      </c>
      <c r="Q32" s="3">
        <v>1220373.1896800001</v>
      </c>
      <c r="R32" s="3">
        <v>0</v>
      </c>
      <c r="S32" s="3">
        <v>0</v>
      </c>
      <c r="T32" s="29">
        <f t="shared" si="2"/>
        <v>4532516</v>
      </c>
      <c r="U32" s="29">
        <f t="shared" si="3"/>
        <v>4397241.7627699999</v>
      </c>
    </row>
    <row r="33" spans="2:21" x14ac:dyDescent="0.25">
      <c r="B33" s="11">
        <v>26</v>
      </c>
      <c r="C33" s="12" t="s">
        <v>37</v>
      </c>
      <c r="D33" s="3">
        <v>0</v>
      </c>
      <c r="E33" s="3">
        <v>5163963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f t="shared" si="0"/>
        <v>0</v>
      </c>
      <c r="M33" s="3">
        <f t="shared" si="1"/>
        <v>0</v>
      </c>
      <c r="N33" s="3">
        <v>1846670</v>
      </c>
      <c r="O33" s="3">
        <v>2864908.0869999998</v>
      </c>
      <c r="P33" s="3">
        <v>263124</v>
      </c>
      <c r="Q33" s="3">
        <v>508004.77970000001</v>
      </c>
      <c r="R33" s="3">
        <v>0</v>
      </c>
      <c r="S33" s="3">
        <v>0</v>
      </c>
      <c r="T33" s="29">
        <f t="shared" si="2"/>
        <v>2109794</v>
      </c>
      <c r="U33" s="29">
        <f t="shared" si="3"/>
        <v>3372912.8666999997</v>
      </c>
    </row>
    <row r="34" spans="2:21" x14ac:dyDescent="0.25">
      <c r="B34" s="11">
        <v>27</v>
      </c>
      <c r="C34" s="12" t="s">
        <v>38</v>
      </c>
      <c r="D34" s="3">
        <v>10743</v>
      </c>
      <c r="E34" s="3">
        <v>4063647</v>
      </c>
      <c r="F34" s="3">
        <v>27433</v>
      </c>
      <c r="G34" s="3">
        <v>163556.68072999999</v>
      </c>
      <c r="H34" s="3">
        <v>7863</v>
      </c>
      <c r="I34" s="3">
        <v>89433.298139999999</v>
      </c>
      <c r="J34" s="3">
        <v>0</v>
      </c>
      <c r="K34" s="3">
        <v>0</v>
      </c>
      <c r="L34" s="3">
        <f t="shared" si="0"/>
        <v>35296</v>
      </c>
      <c r="M34" s="3">
        <f t="shared" si="1"/>
        <v>252989.97886999999</v>
      </c>
      <c r="N34" s="3">
        <v>2044506</v>
      </c>
      <c r="O34" s="3">
        <v>4399633.6043900009</v>
      </c>
      <c r="P34" s="3">
        <v>331204</v>
      </c>
      <c r="Q34" s="3">
        <v>951381.68961999984</v>
      </c>
      <c r="R34" s="3">
        <v>10344</v>
      </c>
      <c r="S34" s="3">
        <v>213915.36057999992</v>
      </c>
      <c r="T34" s="29">
        <f t="shared" si="2"/>
        <v>2386054</v>
      </c>
      <c r="U34" s="29">
        <f t="shared" si="3"/>
        <v>5564930.6545900004</v>
      </c>
    </row>
    <row r="35" spans="2:21" x14ac:dyDescent="0.25">
      <c r="B35" s="11">
        <v>28</v>
      </c>
      <c r="C35" s="12" t="s">
        <v>39</v>
      </c>
      <c r="D35" s="3">
        <v>4519524</v>
      </c>
      <c r="E35" s="3">
        <v>26089134</v>
      </c>
      <c r="F35" s="3">
        <v>5064512</v>
      </c>
      <c r="G35" s="3">
        <v>17255089.060970001</v>
      </c>
      <c r="H35" s="3">
        <v>3813782</v>
      </c>
      <c r="I35" s="3">
        <v>24305706.656810001</v>
      </c>
      <c r="J35" s="3">
        <v>0</v>
      </c>
      <c r="K35" s="3">
        <v>0</v>
      </c>
      <c r="L35" s="3">
        <f t="shared" si="0"/>
        <v>8878294</v>
      </c>
      <c r="M35" s="3">
        <f t="shared" si="1"/>
        <v>41560795.717780001</v>
      </c>
      <c r="N35" s="3">
        <v>5015030</v>
      </c>
      <c r="O35" s="3">
        <v>10395548.08</v>
      </c>
      <c r="P35" s="3">
        <v>3381103</v>
      </c>
      <c r="Q35" s="3">
        <v>7846138.2529999996</v>
      </c>
      <c r="R35" s="3">
        <v>0</v>
      </c>
      <c r="S35" s="3">
        <v>0</v>
      </c>
      <c r="T35" s="29">
        <f t="shared" si="2"/>
        <v>8396133</v>
      </c>
      <c r="U35" s="29">
        <f t="shared" si="3"/>
        <v>18241686.333000001</v>
      </c>
    </row>
    <row r="36" spans="2:21" x14ac:dyDescent="0.25">
      <c r="B36" s="11">
        <v>29</v>
      </c>
      <c r="C36" s="12" t="s">
        <v>40</v>
      </c>
      <c r="D36" s="3">
        <v>0</v>
      </c>
      <c r="E36" s="3">
        <v>192504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f t="shared" si="0"/>
        <v>0</v>
      </c>
      <c r="M36" s="3">
        <f t="shared" si="1"/>
        <v>0</v>
      </c>
      <c r="N36" s="3">
        <v>32159</v>
      </c>
      <c r="O36" s="3">
        <v>59659.801799999994</v>
      </c>
      <c r="P36" s="3">
        <v>18674</v>
      </c>
      <c r="Q36" s="3">
        <v>38577.198700000001</v>
      </c>
      <c r="R36" s="3">
        <v>0</v>
      </c>
      <c r="S36" s="3">
        <v>0</v>
      </c>
      <c r="T36" s="29">
        <f t="shared" si="2"/>
        <v>50833</v>
      </c>
      <c r="U36" s="29">
        <f t="shared" si="3"/>
        <v>98237.000499999995</v>
      </c>
    </row>
    <row r="37" spans="2:21" x14ac:dyDescent="0.25">
      <c r="B37" s="11">
        <v>30</v>
      </c>
      <c r="C37" s="12" t="s">
        <v>41</v>
      </c>
      <c r="D37" s="3">
        <v>4166704</v>
      </c>
      <c r="E37" s="3">
        <v>1484226</v>
      </c>
      <c r="F37" s="3">
        <v>7389527</v>
      </c>
      <c r="G37" s="3">
        <v>29149402.355939999</v>
      </c>
      <c r="H37" s="3">
        <v>3217291</v>
      </c>
      <c r="I37" s="3">
        <v>25252033.04823</v>
      </c>
      <c r="J37" s="3">
        <v>0</v>
      </c>
      <c r="K37" s="3">
        <v>0</v>
      </c>
      <c r="L37" s="3">
        <f t="shared" si="0"/>
        <v>10606818</v>
      </c>
      <c r="M37" s="3">
        <f t="shared" si="1"/>
        <v>54401435.404169999</v>
      </c>
      <c r="N37" s="3">
        <v>323775</v>
      </c>
      <c r="O37" s="3">
        <v>751689.70067999652</v>
      </c>
      <c r="P37" s="3">
        <v>128924</v>
      </c>
      <c r="Q37" s="3">
        <v>441068.55498999346</v>
      </c>
      <c r="R37" s="3">
        <v>140</v>
      </c>
      <c r="S37" s="3">
        <v>5427.8010000000004</v>
      </c>
      <c r="T37" s="29">
        <f t="shared" si="2"/>
        <v>452839</v>
      </c>
      <c r="U37" s="29">
        <f t="shared" si="3"/>
        <v>1198186.0566699901</v>
      </c>
    </row>
    <row r="38" spans="2:21" x14ac:dyDescent="0.25">
      <c r="B38" s="11">
        <v>31</v>
      </c>
      <c r="C38" s="12" t="s">
        <v>42</v>
      </c>
      <c r="D38" s="3">
        <v>155095</v>
      </c>
      <c r="E38" s="3">
        <v>3569346</v>
      </c>
      <c r="F38" s="3">
        <v>411851</v>
      </c>
      <c r="G38" s="3">
        <v>1378042.3077799999</v>
      </c>
      <c r="H38" s="3">
        <v>372318</v>
      </c>
      <c r="I38" s="3">
        <v>2350324.9626100003</v>
      </c>
      <c r="J38" s="3">
        <v>0</v>
      </c>
      <c r="K38" s="3">
        <v>0</v>
      </c>
      <c r="L38" s="3">
        <f t="shared" si="0"/>
        <v>784169</v>
      </c>
      <c r="M38" s="3">
        <f t="shared" si="1"/>
        <v>3728367.2703900002</v>
      </c>
      <c r="N38" s="3">
        <v>1805959</v>
      </c>
      <c r="O38" s="3">
        <v>3309767.3396800002</v>
      </c>
      <c r="P38" s="3">
        <v>339915</v>
      </c>
      <c r="Q38" s="3">
        <v>901760.93267999997</v>
      </c>
      <c r="R38" s="3">
        <v>0</v>
      </c>
      <c r="S38" s="3">
        <v>0</v>
      </c>
      <c r="T38" s="29">
        <f t="shared" si="2"/>
        <v>2145874</v>
      </c>
      <c r="U38" s="29">
        <f t="shared" si="3"/>
        <v>4211528.2723599998</v>
      </c>
    </row>
    <row r="39" spans="2:21" x14ac:dyDescent="0.25">
      <c r="B39" s="11">
        <v>32</v>
      </c>
      <c r="C39" s="12" t="s">
        <v>43</v>
      </c>
      <c r="D39" s="3">
        <v>40906</v>
      </c>
      <c r="E39" s="3">
        <v>2135215</v>
      </c>
      <c r="F39" s="3">
        <v>56179</v>
      </c>
      <c r="G39" s="3">
        <v>244118.69200000001</v>
      </c>
      <c r="H39" s="3">
        <v>21197</v>
      </c>
      <c r="I39" s="3">
        <v>107040.95600000001</v>
      </c>
      <c r="J39" s="3">
        <v>0</v>
      </c>
      <c r="K39" s="3">
        <v>0</v>
      </c>
      <c r="L39" s="3">
        <f t="shared" si="0"/>
        <v>77376</v>
      </c>
      <c r="M39" s="3">
        <f t="shared" si="1"/>
        <v>351159.64800000004</v>
      </c>
      <c r="N39" s="3">
        <v>559926</v>
      </c>
      <c r="O39" s="3">
        <v>1278185.2479999999</v>
      </c>
      <c r="P39" s="3">
        <v>99185</v>
      </c>
      <c r="Q39" s="3">
        <v>190753.54300000001</v>
      </c>
      <c r="R39" s="3">
        <v>143</v>
      </c>
      <c r="S39" s="3">
        <v>369.30900000000003</v>
      </c>
      <c r="T39" s="29">
        <f t="shared" si="2"/>
        <v>659254</v>
      </c>
      <c r="U39" s="29">
        <f t="shared" si="3"/>
        <v>1469308.0999999999</v>
      </c>
    </row>
    <row r="40" spans="2:21" x14ac:dyDescent="0.25">
      <c r="B40" s="11">
        <v>33</v>
      </c>
      <c r="C40" s="12" t="s">
        <v>44</v>
      </c>
      <c r="D40" s="3">
        <v>1327942</v>
      </c>
      <c r="E40" s="3">
        <v>3979824</v>
      </c>
      <c r="F40" s="3">
        <v>2046294</v>
      </c>
      <c r="G40" s="3">
        <v>6629048.8598599993</v>
      </c>
      <c r="H40" s="3">
        <v>879132</v>
      </c>
      <c r="I40" s="3">
        <v>6898359.6522999993</v>
      </c>
      <c r="J40" s="3">
        <v>0</v>
      </c>
      <c r="K40" s="3">
        <v>0</v>
      </c>
      <c r="L40" s="3">
        <f t="shared" si="0"/>
        <v>2925426</v>
      </c>
      <c r="M40" s="3">
        <f t="shared" si="1"/>
        <v>13527408.512159999</v>
      </c>
      <c r="N40" s="3">
        <v>1315505</v>
      </c>
      <c r="O40" s="3">
        <v>2902240.9893500721</v>
      </c>
      <c r="P40" s="3">
        <v>589752</v>
      </c>
      <c r="Q40" s="3">
        <v>1564936.4599699359</v>
      </c>
      <c r="R40" s="3">
        <v>51</v>
      </c>
      <c r="S40" s="3">
        <v>819.64168000000006</v>
      </c>
      <c r="T40" s="29">
        <f t="shared" si="2"/>
        <v>1905308</v>
      </c>
      <c r="U40" s="29">
        <f t="shared" si="3"/>
        <v>4467997.0910000075</v>
      </c>
    </row>
    <row r="41" spans="2:21" x14ac:dyDescent="0.25">
      <c r="B41" s="8" t="s">
        <v>45</v>
      </c>
      <c r="C41" s="10"/>
      <c r="D41" s="9"/>
      <c r="E41" s="9"/>
      <c r="F41" s="9"/>
      <c r="G41" s="3"/>
      <c r="H41" s="9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29"/>
      <c r="U41" s="29"/>
    </row>
    <row r="42" spans="2:21" x14ac:dyDescent="0.25">
      <c r="B42" s="11">
        <v>34</v>
      </c>
      <c r="C42" s="12" t="s">
        <v>46</v>
      </c>
      <c r="D42" s="3">
        <v>1304696</v>
      </c>
      <c r="E42" s="3">
        <v>0</v>
      </c>
      <c r="F42" s="3">
        <v>1092443</v>
      </c>
      <c r="G42" s="3">
        <v>8914339.2310000006</v>
      </c>
      <c r="H42" s="3">
        <v>2958710</v>
      </c>
      <c r="I42" s="3">
        <v>23329996.695</v>
      </c>
      <c r="J42" s="3">
        <v>0</v>
      </c>
      <c r="K42" s="3">
        <v>0</v>
      </c>
      <c r="L42" s="3">
        <f t="shared" si="0"/>
        <v>4051153</v>
      </c>
      <c r="M42" s="3">
        <f t="shared" si="1"/>
        <v>32244335.925999999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29">
        <f t="shared" si="2"/>
        <v>0</v>
      </c>
      <c r="U42" s="29">
        <f t="shared" si="3"/>
        <v>0</v>
      </c>
    </row>
    <row r="43" spans="2:21" x14ac:dyDescent="0.25">
      <c r="B43" s="11">
        <v>35</v>
      </c>
      <c r="C43" s="12" t="s">
        <v>47</v>
      </c>
      <c r="D43" s="3">
        <v>7241</v>
      </c>
      <c r="E43" s="3">
        <v>0</v>
      </c>
      <c r="F43" s="3">
        <v>16848</v>
      </c>
      <c r="G43" s="3">
        <v>91590.804499999998</v>
      </c>
      <c r="H43" s="3">
        <v>0</v>
      </c>
      <c r="I43" s="3">
        <v>0</v>
      </c>
      <c r="J43" s="3">
        <v>0</v>
      </c>
      <c r="K43" s="3">
        <v>0</v>
      </c>
      <c r="L43" s="3">
        <f t="shared" si="0"/>
        <v>16848</v>
      </c>
      <c r="M43" s="3">
        <f t="shared" si="1"/>
        <v>91590.804499999998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29">
        <f t="shared" si="2"/>
        <v>0</v>
      </c>
      <c r="U43" s="29">
        <f t="shared" si="3"/>
        <v>0</v>
      </c>
    </row>
    <row r="44" spans="2:21" x14ac:dyDescent="0.25">
      <c r="B44" s="11">
        <v>36</v>
      </c>
      <c r="C44" s="12" t="s">
        <v>48</v>
      </c>
      <c r="D44" s="3">
        <v>0</v>
      </c>
      <c r="E44" s="3">
        <v>912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f t="shared" si="0"/>
        <v>0</v>
      </c>
      <c r="M44" s="3">
        <f t="shared" si="1"/>
        <v>0</v>
      </c>
      <c r="N44" s="3">
        <v>15</v>
      </c>
      <c r="O44" s="3">
        <v>337.14873</v>
      </c>
      <c r="P44" s="3">
        <v>0</v>
      </c>
      <c r="Q44" s="3">
        <v>0</v>
      </c>
      <c r="R44" s="3">
        <v>0</v>
      </c>
      <c r="S44" s="3">
        <v>0</v>
      </c>
      <c r="T44" s="29">
        <f t="shared" si="2"/>
        <v>15</v>
      </c>
      <c r="U44" s="29">
        <f t="shared" si="3"/>
        <v>337.14873</v>
      </c>
    </row>
    <row r="45" spans="2:21" x14ac:dyDescent="0.25">
      <c r="B45" s="11">
        <v>37</v>
      </c>
      <c r="C45" s="12" t="s">
        <v>49</v>
      </c>
      <c r="D45" s="3">
        <v>2472875</v>
      </c>
      <c r="E45" s="3">
        <v>1317002</v>
      </c>
      <c r="F45" s="3">
        <v>9169028</v>
      </c>
      <c r="G45" s="3">
        <v>26454489.056029998</v>
      </c>
      <c r="H45" s="3">
        <v>3481972</v>
      </c>
      <c r="I45" s="3">
        <v>19841569.130819999</v>
      </c>
      <c r="J45" s="3">
        <v>0</v>
      </c>
      <c r="K45" s="3">
        <v>0</v>
      </c>
      <c r="L45" s="3">
        <f t="shared" si="0"/>
        <v>12651000</v>
      </c>
      <c r="M45" s="3">
        <f t="shared" si="1"/>
        <v>46296058.186849996</v>
      </c>
      <c r="N45" s="3">
        <v>919499</v>
      </c>
      <c r="O45" s="3">
        <v>2525510.9364799997</v>
      </c>
      <c r="P45" s="3">
        <v>870915</v>
      </c>
      <c r="Q45" s="3">
        <v>2854921.8050899999</v>
      </c>
      <c r="R45" s="3">
        <v>0</v>
      </c>
      <c r="S45" s="3">
        <v>0</v>
      </c>
      <c r="T45" s="29">
        <f t="shared" si="2"/>
        <v>1790414</v>
      </c>
      <c r="U45" s="29">
        <f t="shared" si="3"/>
        <v>5380432.7415699996</v>
      </c>
    </row>
    <row r="46" spans="2:21" x14ac:dyDescent="0.25">
      <c r="B46" s="11">
        <v>38</v>
      </c>
      <c r="C46" s="12" t="s">
        <v>50</v>
      </c>
      <c r="D46" s="3">
        <v>95287</v>
      </c>
      <c r="E46" s="3">
        <v>1948884</v>
      </c>
      <c r="F46" s="3">
        <v>106544</v>
      </c>
      <c r="G46" s="3">
        <v>370183.83257998701</v>
      </c>
      <c r="H46" s="3">
        <v>72880</v>
      </c>
      <c r="I46" s="3">
        <v>499309.1102</v>
      </c>
      <c r="J46" s="3">
        <v>0</v>
      </c>
      <c r="K46" s="3">
        <v>0</v>
      </c>
      <c r="L46" s="3">
        <f t="shared" si="0"/>
        <v>179424</v>
      </c>
      <c r="M46" s="3">
        <f t="shared" si="1"/>
        <v>869492.942779987</v>
      </c>
      <c r="N46" s="3">
        <v>593098</v>
      </c>
      <c r="O46" s="3">
        <v>1005414.99874</v>
      </c>
      <c r="P46" s="3">
        <v>204839</v>
      </c>
      <c r="Q46" s="3">
        <v>405697.71820999996</v>
      </c>
      <c r="R46" s="3">
        <v>471</v>
      </c>
      <c r="S46" s="3">
        <v>6919.482</v>
      </c>
      <c r="T46" s="29">
        <f t="shared" si="2"/>
        <v>798408</v>
      </c>
      <c r="U46" s="29">
        <f t="shared" si="3"/>
        <v>1418032.1989499999</v>
      </c>
    </row>
    <row r="47" spans="2:21" x14ac:dyDescent="0.25">
      <c r="B47" s="11">
        <v>39</v>
      </c>
      <c r="C47" s="12" t="s">
        <v>51</v>
      </c>
      <c r="D47" s="3">
        <v>0</v>
      </c>
      <c r="E47" s="3">
        <v>118881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f t="shared" si="0"/>
        <v>0</v>
      </c>
      <c r="M47" s="3">
        <f t="shared" si="1"/>
        <v>0</v>
      </c>
      <c r="N47" s="3">
        <v>78440</v>
      </c>
      <c r="O47" s="3">
        <v>195448.80030999758</v>
      </c>
      <c r="P47" s="3">
        <v>8455</v>
      </c>
      <c r="Q47" s="3">
        <v>42446.969710000078</v>
      </c>
      <c r="R47" s="3">
        <v>0</v>
      </c>
      <c r="S47" s="3">
        <v>0</v>
      </c>
      <c r="T47" s="29">
        <f t="shared" si="2"/>
        <v>86895</v>
      </c>
      <c r="U47" s="29">
        <f t="shared" si="3"/>
        <v>237895.77001999767</v>
      </c>
    </row>
    <row r="48" spans="2:21" x14ac:dyDescent="0.25">
      <c r="B48" s="11">
        <v>40</v>
      </c>
      <c r="C48" s="12" t="s">
        <v>52</v>
      </c>
      <c r="D48" s="3">
        <v>687106</v>
      </c>
      <c r="E48" s="3">
        <v>554698</v>
      </c>
      <c r="F48" s="3">
        <v>763689</v>
      </c>
      <c r="G48" s="3">
        <v>2742847.8336999998</v>
      </c>
      <c r="H48" s="3">
        <v>1027928</v>
      </c>
      <c r="I48" s="3">
        <v>4456113.9405500004</v>
      </c>
      <c r="J48" s="3">
        <v>0</v>
      </c>
      <c r="K48" s="3">
        <v>0</v>
      </c>
      <c r="L48" s="3">
        <f t="shared" si="0"/>
        <v>1791617</v>
      </c>
      <c r="M48" s="3">
        <f t="shared" si="1"/>
        <v>7198961.7742500007</v>
      </c>
      <c r="N48" s="3">
        <v>265514</v>
      </c>
      <c r="O48" s="3">
        <v>1069099.9375699926</v>
      </c>
      <c r="P48" s="3">
        <v>0</v>
      </c>
      <c r="Q48" s="3">
        <v>0</v>
      </c>
      <c r="R48" s="3">
        <v>0</v>
      </c>
      <c r="S48" s="3">
        <v>0</v>
      </c>
      <c r="T48" s="29">
        <f t="shared" si="2"/>
        <v>265514</v>
      </c>
      <c r="U48" s="29">
        <f t="shared" si="3"/>
        <v>1069099.9375699926</v>
      </c>
    </row>
    <row r="49" spans="1:21" x14ac:dyDescent="0.25">
      <c r="A49" s="5" t="s">
        <v>53</v>
      </c>
      <c r="B49" s="11">
        <v>41</v>
      </c>
      <c r="C49" s="12" t="s">
        <v>54</v>
      </c>
      <c r="D49" s="3">
        <v>1625793</v>
      </c>
      <c r="E49" s="3">
        <v>353844</v>
      </c>
      <c r="F49" s="3">
        <v>471621</v>
      </c>
      <c r="G49" s="3">
        <v>2037149.8959999999</v>
      </c>
      <c r="H49" s="3">
        <v>1150754</v>
      </c>
      <c r="I49" s="3">
        <v>5190702.3</v>
      </c>
      <c r="J49" s="3">
        <v>0</v>
      </c>
      <c r="K49" s="3">
        <v>0</v>
      </c>
      <c r="L49" s="3">
        <f t="shared" si="0"/>
        <v>1622375</v>
      </c>
      <c r="M49" s="3">
        <f t="shared" si="1"/>
        <v>7227852.1959999995</v>
      </c>
      <c r="N49" s="3">
        <v>14679</v>
      </c>
      <c r="O49" s="3">
        <v>32357.466</v>
      </c>
      <c r="P49" s="3">
        <v>42706</v>
      </c>
      <c r="Q49" s="3">
        <v>93121.72</v>
      </c>
      <c r="R49" s="3">
        <v>0</v>
      </c>
      <c r="S49" s="3">
        <v>0</v>
      </c>
      <c r="T49" s="29">
        <f t="shared" si="2"/>
        <v>57385</v>
      </c>
      <c r="U49" s="29">
        <f t="shared" si="3"/>
        <v>125479.186</v>
      </c>
    </row>
    <row r="50" spans="1:21" x14ac:dyDescent="0.25">
      <c r="B50" s="11">
        <v>42</v>
      </c>
      <c r="C50" s="10" t="s">
        <v>55</v>
      </c>
      <c r="D50" s="3">
        <v>1104244</v>
      </c>
      <c r="E50" s="3">
        <v>1171636</v>
      </c>
      <c r="F50" s="3">
        <v>2110108</v>
      </c>
      <c r="G50" s="3">
        <v>6228807.0010000002</v>
      </c>
      <c r="H50" s="3">
        <v>983791</v>
      </c>
      <c r="I50" s="3">
        <v>5559128.1540000001</v>
      </c>
      <c r="J50" s="3">
        <v>0</v>
      </c>
      <c r="K50" s="3">
        <v>0</v>
      </c>
      <c r="L50" s="3">
        <f t="shared" si="0"/>
        <v>3093899</v>
      </c>
      <c r="M50" s="3">
        <f t="shared" si="1"/>
        <v>11787935.155000001</v>
      </c>
      <c r="N50" s="3">
        <v>1329507</v>
      </c>
      <c r="O50" s="3">
        <v>3244912.909</v>
      </c>
      <c r="P50" s="3">
        <v>146625</v>
      </c>
      <c r="Q50" s="3">
        <v>646286.94799999997</v>
      </c>
      <c r="R50" s="3">
        <v>33</v>
      </c>
      <c r="S50" s="3">
        <v>558.06763999999998</v>
      </c>
      <c r="T50" s="29">
        <f t="shared" si="2"/>
        <v>1476165</v>
      </c>
      <c r="U50" s="29">
        <f t="shared" si="3"/>
        <v>3891757.9246399999</v>
      </c>
    </row>
    <row r="51" spans="1:21" s="4" customFormat="1" x14ac:dyDescent="0.25">
      <c r="A51" s="14"/>
      <c r="B51" s="18" t="s">
        <v>56</v>
      </c>
      <c r="C51" s="19"/>
      <c r="D51" s="15">
        <f>SUM(D7:D50)</f>
        <v>79029666</v>
      </c>
      <c r="E51" s="15">
        <f>SUM(E7:E50)</f>
        <v>861884515</v>
      </c>
      <c r="F51" s="15">
        <f>SUM(F7:F50)</f>
        <v>139522324</v>
      </c>
      <c r="G51" s="15">
        <f>SUM(G7:G50)</f>
        <v>508862375.74288994</v>
      </c>
      <c r="H51" s="15">
        <f>SUM(H7:H50)</f>
        <v>114845991</v>
      </c>
      <c r="I51" s="15">
        <f>SUM(I7:I50)</f>
        <v>775393281.53026009</v>
      </c>
      <c r="J51" s="15">
        <f>SUM(J7:J50)</f>
        <v>54</v>
      </c>
      <c r="K51" s="15">
        <f>SUM(K7:K50)</f>
        <v>2211.0060000000003</v>
      </c>
      <c r="L51" s="28">
        <f t="shared" si="0"/>
        <v>254368369</v>
      </c>
      <c r="M51" s="28">
        <f t="shared" si="1"/>
        <v>1284257868.27915</v>
      </c>
      <c r="N51" s="15">
        <f>SUM(N7:N50)</f>
        <v>202353514</v>
      </c>
      <c r="O51" s="15">
        <f>SUM(O7:O50)</f>
        <v>456558962.71353012</v>
      </c>
      <c r="P51" s="15">
        <f>SUM(P7:P50)</f>
        <v>88473119</v>
      </c>
      <c r="Q51" s="15">
        <f>SUM(Q7:Q50)</f>
        <v>201373325.72878003</v>
      </c>
      <c r="R51" s="15">
        <f>SUM(R7:R50)</f>
        <v>332046</v>
      </c>
      <c r="S51" s="15">
        <f>SUM(S7:S50)</f>
        <v>3626250.14273</v>
      </c>
      <c r="T51" s="30">
        <f t="shared" si="2"/>
        <v>291158679</v>
      </c>
      <c r="U51" s="30">
        <f t="shared" si="3"/>
        <v>661558538.58504009</v>
      </c>
    </row>
    <row r="52" spans="1:21" x14ac:dyDescent="0.25">
      <c r="A52" s="16"/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</row>
  </sheetData>
  <mergeCells count="19">
    <mergeCell ref="F2:M2"/>
    <mergeCell ref="F3:M3"/>
    <mergeCell ref="N2:U2"/>
    <mergeCell ref="N3:U3"/>
    <mergeCell ref="T4:U4"/>
    <mergeCell ref="B2:B5"/>
    <mergeCell ref="C2:C5"/>
    <mergeCell ref="D2:E2"/>
    <mergeCell ref="E3:E5"/>
    <mergeCell ref="D3:D5"/>
    <mergeCell ref="B51:C51"/>
    <mergeCell ref="B52:S52"/>
    <mergeCell ref="F4:G4"/>
    <mergeCell ref="H4:I4"/>
    <mergeCell ref="J4:K4"/>
    <mergeCell ref="N4:O4"/>
    <mergeCell ref="P4:Q4"/>
    <mergeCell ref="R4:S4"/>
    <mergeCell ref="L4:M4"/>
  </mergeCells>
  <pageMargins left="0.05" right="0" top="0.03" bottom="3.937007874015748E-2" header="0" footer="3.937007874015748E-2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2022 (Revised)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Sanjay Hase</dc:creator>
  <cp:lastModifiedBy>Manas</cp:lastModifiedBy>
  <cp:lastPrinted>2023-06-22T10:46:13Z</cp:lastPrinted>
  <dcterms:created xsi:type="dcterms:W3CDTF">2022-12-20T10:32:15Z</dcterms:created>
  <dcterms:modified xsi:type="dcterms:W3CDTF">2023-07-18T15:40:32Z</dcterms:modified>
</cp:coreProperties>
</file>