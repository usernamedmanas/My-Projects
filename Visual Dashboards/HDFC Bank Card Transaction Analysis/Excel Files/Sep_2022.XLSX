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2A2AF8FA-DF13-4E2A-80BC-EEAACB5660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ptember 20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1" l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U6" i="1"/>
  <c r="T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M6" i="1"/>
  <c r="L6" i="1"/>
</calcChain>
</file>

<file path=xl/sharedStrings.xml><?xml version="1.0" encoding="utf-8"?>
<sst xmlns="http://schemas.openxmlformats.org/spreadsheetml/2006/main" count="76" uniqueCount="56">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</sst>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 applyProtection="1">
      <alignment horizontal="left"/>
      <protection locked="0"/>
    </xf>
    <xf numFmtId="1" fontId="5" fillId="2" borderId="2" xfId="0" applyNumberFormat="1" applyFont="1" applyFill="1" applyBorder="1"/>
    <xf numFmtId="0" fontId="4" fillId="2" borderId="2" xfId="0" applyFont="1" applyFill="1" applyBorder="1" applyAlignment="1" applyProtection="1">
      <alignment vertical="center"/>
      <protection locked="0"/>
    </xf>
    <xf numFmtId="1" fontId="4" fillId="2" borderId="2" xfId="0" applyNumberFormat="1" applyFont="1" applyFill="1" applyBorder="1" applyAlignment="1">
      <alignment horizontal="right" vertical="center"/>
    </xf>
    <xf numFmtId="0" fontId="6" fillId="2" borderId="2" xfId="1" applyFont="1" applyFill="1" applyBorder="1" applyAlignment="1" applyProtection="1">
      <alignment vertical="center" wrapText="1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left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2" xfId="0" applyFont="1" applyFill="1" applyBorder="1" applyProtection="1"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1" fontId="5" fillId="0" borderId="2" xfId="0" applyNumberFormat="1" applyFont="1" applyBorder="1"/>
    <xf numFmtId="0" fontId="5" fillId="2" borderId="2" xfId="0" applyFont="1" applyFill="1" applyBorder="1" applyAlignment="1" applyProtection="1">
      <alignment horizontal="left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2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Border="1" applyAlignment="1" applyProtection="1">
      <alignment horizontal="center" vertical="center"/>
      <protection locked="0"/>
    </xf>
    <xf numFmtId="0" fontId="3" fillId="2" borderId="6" xfId="1" applyFont="1" applyFill="1" applyBorder="1" applyAlignment="1" applyProtection="1">
      <alignment horizontal="center" vertical="center"/>
      <protection locked="0"/>
    </xf>
    <xf numFmtId="0" fontId="3" fillId="2" borderId="7" xfId="1" applyFont="1" applyFill="1" applyBorder="1" applyAlignment="1" applyProtection="1">
      <alignment horizontal="center" vertical="center"/>
      <protection locked="0"/>
    </xf>
    <xf numFmtId="1" fontId="4" fillId="2" borderId="2" xfId="0" applyNumberFormat="1" applyFont="1" applyFill="1" applyBorder="1"/>
    <xf numFmtId="1" fontId="5" fillId="2" borderId="0" xfId="0" applyNumberFormat="1" applyFont="1" applyFill="1"/>
    <xf numFmtId="1" fontId="4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U50"/>
  <sheetViews>
    <sheetView tabSelected="1" topLeftCell="B34" zoomScale="85" zoomScaleNormal="85" workbookViewId="0">
      <selection activeCell="T18" sqref="T18:U18"/>
    </sheetView>
  </sheetViews>
  <sheetFormatPr defaultColWidth="9.109375" defaultRowHeight="13.2" x14ac:dyDescent="0.25"/>
  <cols>
    <col min="1" max="1" width="5.6640625" style="9" customWidth="1"/>
    <col min="2" max="2" width="8.6640625" style="10" customWidth="1"/>
    <col min="3" max="3" width="41.5546875" style="10" customWidth="1"/>
    <col min="4" max="4" width="10" style="10" customWidth="1"/>
    <col min="5" max="5" width="10.6640625" style="10" customWidth="1"/>
    <col min="6" max="6" width="10.33203125" style="10" bestFit="1" customWidth="1"/>
    <col min="7" max="7" width="10.6640625" style="10" customWidth="1"/>
    <col min="8" max="8" width="10" style="10" bestFit="1" customWidth="1"/>
    <col min="9" max="9" width="10.6640625" style="10" customWidth="1"/>
    <col min="10" max="11" width="8.109375" style="10" customWidth="1"/>
    <col min="12" max="12" width="12" style="10" customWidth="1"/>
    <col min="13" max="13" width="12.88671875" style="10" customWidth="1"/>
    <col min="14" max="14" width="12.5546875" style="10" customWidth="1"/>
    <col min="15" max="15" width="12" style="10" bestFit="1" customWidth="1"/>
    <col min="16" max="16" width="10" style="10" bestFit="1" customWidth="1"/>
    <col min="17" max="17" width="12" style="10" bestFit="1" customWidth="1"/>
    <col min="18" max="18" width="10.109375" style="10" customWidth="1"/>
    <col min="19" max="19" width="8.5546875" style="10" customWidth="1"/>
    <col min="20" max="20" width="12.33203125" style="10" customWidth="1"/>
    <col min="21" max="21" width="11.44140625" style="10" customWidth="1"/>
    <col min="22" max="16384" width="9.109375" style="10"/>
  </cols>
  <sheetData>
    <row r="1" spans="1:21" x14ac:dyDescent="0.25">
      <c r="B1" s="20"/>
      <c r="C1" s="20"/>
      <c r="D1" s="21"/>
      <c r="E1" s="21"/>
      <c r="F1" s="23" t="s">
        <v>0</v>
      </c>
      <c r="G1" s="25"/>
      <c r="H1" s="25"/>
      <c r="I1" s="25"/>
      <c r="J1" s="25"/>
      <c r="K1" s="25"/>
      <c r="L1" s="25"/>
      <c r="M1" s="24"/>
      <c r="N1" s="26" t="s">
        <v>1</v>
      </c>
      <c r="O1" s="27"/>
      <c r="P1" s="27"/>
      <c r="Q1" s="27"/>
      <c r="R1" s="27"/>
      <c r="S1" s="27"/>
      <c r="T1" s="27"/>
      <c r="U1" s="27"/>
    </row>
    <row r="2" spans="1:21" x14ac:dyDescent="0.25">
      <c r="B2" s="20"/>
      <c r="C2" s="20"/>
      <c r="D2" s="21" t="s">
        <v>2</v>
      </c>
      <c r="E2" s="21" t="s">
        <v>3</v>
      </c>
      <c r="F2" s="23" t="s">
        <v>4</v>
      </c>
      <c r="G2" s="25"/>
      <c r="H2" s="25"/>
      <c r="I2" s="25"/>
      <c r="J2" s="25"/>
      <c r="K2" s="25"/>
      <c r="L2" s="25"/>
      <c r="M2" s="24"/>
      <c r="N2" s="28" t="s">
        <v>4</v>
      </c>
      <c r="O2" s="29"/>
      <c r="P2" s="29"/>
      <c r="Q2" s="29"/>
      <c r="R2" s="29"/>
      <c r="S2" s="29"/>
      <c r="T2" s="29"/>
      <c r="U2" s="29"/>
    </row>
    <row r="3" spans="1:21" x14ac:dyDescent="0.25">
      <c r="B3" s="20"/>
      <c r="C3" s="20"/>
      <c r="D3" s="21"/>
      <c r="E3" s="21"/>
      <c r="F3" s="21" t="s">
        <v>5</v>
      </c>
      <c r="G3" s="21"/>
      <c r="H3" s="21" t="s">
        <v>6</v>
      </c>
      <c r="I3" s="21"/>
      <c r="J3" s="20" t="s">
        <v>7</v>
      </c>
      <c r="K3" s="20"/>
      <c r="L3" s="23" t="s">
        <v>55</v>
      </c>
      <c r="M3" s="24"/>
      <c r="N3" s="21" t="s">
        <v>5</v>
      </c>
      <c r="O3" s="21"/>
      <c r="P3" s="21" t="s">
        <v>6</v>
      </c>
      <c r="Q3" s="21"/>
      <c r="R3" s="20" t="s">
        <v>7</v>
      </c>
      <c r="S3" s="20"/>
      <c r="T3" s="23" t="s">
        <v>55</v>
      </c>
      <c r="U3" s="24"/>
    </row>
    <row r="4" spans="1:21" s="13" customFormat="1" ht="41.25" customHeight="1" x14ac:dyDescent="0.3">
      <c r="A4" s="11"/>
      <c r="B4" s="20"/>
      <c r="C4" s="20"/>
      <c r="D4" s="21"/>
      <c r="E4" s="21"/>
      <c r="F4" s="12" t="s">
        <v>8</v>
      </c>
      <c r="G4" s="12" t="s">
        <v>9</v>
      </c>
      <c r="H4" s="12" t="s">
        <v>8</v>
      </c>
      <c r="I4" s="12" t="s">
        <v>9</v>
      </c>
      <c r="J4" s="12" t="s">
        <v>8</v>
      </c>
      <c r="K4" s="12" t="s">
        <v>9</v>
      </c>
      <c r="L4" s="12" t="s">
        <v>8</v>
      </c>
      <c r="M4" s="12" t="s">
        <v>9</v>
      </c>
      <c r="N4" s="12" t="s">
        <v>8</v>
      </c>
      <c r="O4" s="12" t="s">
        <v>9</v>
      </c>
      <c r="P4" s="12" t="s">
        <v>8</v>
      </c>
      <c r="Q4" s="12" t="s">
        <v>9</v>
      </c>
      <c r="R4" s="12" t="s">
        <v>8</v>
      </c>
      <c r="S4" s="12" t="s">
        <v>9</v>
      </c>
      <c r="T4" s="12" t="s">
        <v>8</v>
      </c>
      <c r="U4" s="12" t="s">
        <v>9</v>
      </c>
    </row>
    <row r="5" spans="1:21" x14ac:dyDescent="0.25">
      <c r="B5" s="4" t="s">
        <v>10</v>
      </c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1" x14ac:dyDescent="0.25">
      <c r="B6" s="7">
        <v>1</v>
      </c>
      <c r="C6" s="2" t="s">
        <v>11</v>
      </c>
      <c r="D6" s="3">
        <v>1502964</v>
      </c>
      <c r="E6" s="3">
        <v>77708499</v>
      </c>
      <c r="F6" s="3">
        <v>1753063</v>
      </c>
      <c r="G6" s="3">
        <v>5523125.9687800007</v>
      </c>
      <c r="H6" s="3">
        <v>1806990</v>
      </c>
      <c r="I6" s="3">
        <v>8788232.3271399997</v>
      </c>
      <c r="J6" s="3">
        <v>0</v>
      </c>
      <c r="K6" s="3">
        <v>0</v>
      </c>
      <c r="L6" s="3">
        <f>J6+H6+F6</f>
        <v>3560053</v>
      </c>
      <c r="M6" s="3">
        <f>K6+I6+G6</f>
        <v>14311358.295919999</v>
      </c>
      <c r="N6" s="3">
        <v>7296348</v>
      </c>
      <c r="O6" s="3">
        <v>13449405.474830002</v>
      </c>
      <c r="P6" s="3">
        <v>3594070</v>
      </c>
      <c r="Q6" s="3">
        <v>6470476.5498100035</v>
      </c>
      <c r="R6" s="3">
        <v>8</v>
      </c>
      <c r="S6" s="3">
        <v>22.87</v>
      </c>
      <c r="T6" s="31">
        <f>R6+P6+N6</f>
        <v>10890426</v>
      </c>
      <c r="U6" s="31">
        <f>S6+Q6+O6</f>
        <v>19919904.894640006</v>
      </c>
    </row>
    <row r="7" spans="1:21" x14ac:dyDescent="0.25">
      <c r="B7" s="7">
        <v>2</v>
      </c>
      <c r="C7" s="2" t="s">
        <v>12</v>
      </c>
      <c r="D7" s="3">
        <v>138964</v>
      </c>
      <c r="E7" s="3">
        <v>45593205</v>
      </c>
      <c r="F7" s="3">
        <v>134113</v>
      </c>
      <c r="G7" s="3">
        <v>470464.46657000005</v>
      </c>
      <c r="H7" s="3">
        <v>95147</v>
      </c>
      <c r="I7" s="3">
        <v>301709.39828000002</v>
      </c>
      <c r="J7" s="3">
        <v>0</v>
      </c>
      <c r="K7" s="3">
        <v>0</v>
      </c>
      <c r="L7" s="3">
        <f t="shared" ref="L7:L49" si="0">J7+H7+F7</f>
        <v>229260</v>
      </c>
      <c r="M7" s="3">
        <f t="shared" ref="M7:M49" si="1">K7+I7+G7</f>
        <v>772173.86485000001</v>
      </c>
      <c r="N7" s="3">
        <v>4526379</v>
      </c>
      <c r="O7" s="3">
        <v>7582856.3595899995</v>
      </c>
      <c r="P7" s="3">
        <v>2081878</v>
      </c>
      <c r="Q7" s="3">
        <v>3049357.2736499999</v>
      </c>
      <c r="R7" s="3">
        <v>0</v>
      </c>
      <c r="S7" s="3">
        <v>0</v>
      </c>
      <c r="T7" s="31">
        <f t="shared" ref="T7:T49" si="2">R7+P7+N7</f>
        <v>6608257</v>
      </c>
      <c r="U7" s="31">
        <f t="shared" ref="U7:U49" si="3">S7+Q7+O7</f>
        <v>10632213.633239999</v>
      </c>
    </row>
    <row r="8" spans="1:21" x14ac:dyDescent="0.25">
      <c r="B8" s="7">
        <v>3</v>
      </c>
      <c r="C8" s="19" t="s">
        <v>13</v>
      </c>
      <c r="D8" s="3">
        <v>78338</v>
      </c>
      <c r="E8" s="3">
        <v>13037906</v>
      </c>
      <c r="F8" s="3">
        <v>56819</v>
      </c>
      <c r="G8" s="3">
        <v>219880.61594001195</v>
      </c>
      <c r="H8" s="3">
        <v>24300</v>
      </c>
      <c r="I8" s="3">
        <v>122001.4529199993</v>
      </c>
      <c r="J8" s="3">
        <v>0</v>
      </c>
      <c r="K8" s="3">
        <v>0</v>
      </c>
      <c r="L8" s="3">
        <f t="shared" si="0"/>
        <v>81119</v>
      </c>
      <c r="M8" s="3">
        <f t="shared" si="1"/>
        <v>341882.06886001123</v>
      </c>
      <c r="N8" s="3">
        <v>2163077</v>
      </c>
      <c r="O8" s="3">
        <v>3111360.8277199999</v>
      </c>
      <c r="P8" s="3">
        <v>880943</v>
      </c>
      <c r="Q8" s="3">
        <v>1249053.8044</v>
      </c>
      <c r="R8" s="3">
        <v>8096</v>
      </c>
      <c r="S8" s="3">
        <v>86689.926670000001</v>
      </c>
      <c r="T8" s="31">
        <f t="shared" si="2"/>
        <v>3052116</v>
      </c>
      <c r="U8" s="31">
        <f t="shared" si="3"/>
        <v>4447104.5587900002</v>
      </c>
    </row>
    <row r="9" spans="1:21" x14ac:dyDescent="0.25">
      <c r="B9" s="7">
        <v>4</v>
      </c>
      <c r="C9" s="2" t="s">
        <v>14</v>
      </c>
      <c r="D9" s="3">
        <v>558886</v>
      </c>
      <c r="E9" s="3">
        <v>48539815</v>
      </c>
      <c r="F9" s="3">
        <v>652456</v>
      </c>
      <c r="G9" s="3">
        <v>1735783.4797599998</v>
      </c>
      <c r="H9" s="3">
        <v>306912</v>
      </c>
      <c r="I9" s="3">
        <v>1110786.3929999999</v>
      </c>
      <c r="J9" s="3">
        <v>0</v>
      </c>
      <c r="K9" s="3">
        <v>0</v>
      </c>
      <c r="L9" s="3">
        <f t="shared" si="0"/>
        <v>959368</v>
      </c>
      <c r="M9" s="3">
        <f t="shared" si="1"/>
        <v>2846569.8727599997</v>
      </c>
      <c r="N9" s="3">
        <v>9205632</v>
      </c>
      <c r="O9" s="3">
        <v>18393881.90323</v>
      </c>
      <c r="P9" s="3">
        <v>3623689</v>
      </c>
      <c r="Q9" s="3">
        <v>6653561.3339999998</v>
      </c>
      <c r="R9" s="3">
        <v>4907</v>
      </c>
      <c r="S9" s="3">
        <v>79977.437000000005</v>
      </c>
      <c r="T9" s="31">
        <f t="shared" si="2"/>
        <v>12834228</v>
      </c>
      <c r="U9" s="31">
        <f t="shared" si="3"/>
        <v>25127420.674230002</v>
      </c>
    </row>
    <row r="10" spans="1:21" x14ac:dyDescent="0.25">
      <c r="B10" s="7">
        <v>5</v>
      </c>
      <c r="C10" s="2" t="s">
        <v>15</v>
      </c>
      <c r="D10" s="3">
        <v>0</v>
      </c>
      <c r="E10" s="3">
        <v>27340402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 t="shared" si="0"/>
        <v>0</v>
      </c>
      <c r="M10" s="3">
        <f t="shared" si="1"/>
        <v>0</v>
      </c>
      <c r="N10" s="3">
        <v>2481155</v>
      </c>
      <c r="O10" s="3">
        <v>5128592.4809999997</v>
      </c>
      <c r="P10" s="3">
        <v>676812</v>
      </c>
      <c r="Q10" s="3">
        <v>1293512.9680000001</v>
      </c>
      <c r="R10" s="3">
        <v>0</v>
      </c>
      <c r="S10" s="3">
        <v>0</v>
      </c>
      <c r="T10" s="31">
        <f t="shared" si="2"/>
        <v>3157967</v>
      </c>
      <c r="U10" s="31">
        <f t="shared" si="3"/>
        <v>6422105.449</v>
      </c>
    </row>
    <row r="11" spans="1:21" x14ac:dyDescent="0.25">
      <c r="B11" s="7">
        <v>6</v>
      </c>
      <c r="C11" s="2" t="s">
        <v>16</v>
      </c>
      <c r="D11" s="3">
        <v>160881</v>
      </c>
      <c r="E11" s="3">
        <v>28656557</v>
      </c>
      <c r="F11" s="3">
        <v>122400</v>
      </c>
      <c r="G11" s="3">
        <v>378701.74</v>
      </c>
      <c r="H11" s="3">
        <v>69802</v>
      </c>
      <c r="I11" s="3">
        <v>330701.17599999998</v>
      </c>
      <c r="J11" s="3">
        <v>0</v>
      </c>
      <c r="K11" s="3">
        <v>0</v>
      </c>
      <c r="L11" s="3">
        <f t="shared" si="0"/>
        <v>192202</v>
      </c>
      <c r="M11" s="3">
        <f t="shared" si="1"/>
        <v>709402.91599999997</v>
      </c>
      <c r="N11" s="3">
        <v>5425748</v>
      </c>
      <c r="O11" s="3">
        <v>10038288.387080001</v>
      </c>
      <c r="P11" s="3">
        <v>2515758</v>
      </c>
      <c r="Q11" s="3">
        <v>4011049.8169999998</v>
      </c>
      <c r="R11" s="3">
        <v>4784</v>
      </c>
      <c r="S11" s="3">
        <v>72291.184120000005</v>
      </c>
      <c r="T11" s="31">
        <f t="shared" si="2"/>
        <v>7946290</v>
      </c>
      <c r="U11" s="31">
        <f t="shared" si="3"/>
        <v>14121629.3882</v>
      </c>
    </row>
    <row r="12" spans="1:21" x14ac:dyDescent="0.25">
      <c r="B12" s="7">
        <v>7</v>
      </c>
      <c r="C12" s="2" t="s">
        <v>17</v>
      </c>
      <c r="D12" s="3">
        <v>83125</v>
      </c>
      <c r="E12" s="3">
        <v>15445034</v>
      </c>
      <c r="F12" s="3">
        <v>62582</v>
      </c>
      <c r="G12" s="3">
        <v>155306.75599999999</v>
      </c>
      <c r="H12" s="3">
        <v>26120</v>
      </c>
      <c r="I12" s="3">
        <v>71210.698999999993</v>
      </c>
      <c r="J12" s="3">
        <v>0</v>
      </c>
      <c r="K12" s="3">
        <v>0</v>
      </c>
      <c r="L12" s="3">
        <f t="shared" si="0"/>
        <v>88702</v>
      </c>
      <c r="M12" s="3">
        <f t="shared" si="1"/>
        <v>226517.45499999999</v>
      </c>
      <c r="N12" s="3">
        <v>3372727</v>
      </c>
      <c r="O12" s="3">
        <v>6128932.7350000003</v>
      </c>
      <c r="P12" s="3">
        <v>1056827</v>
      </c>
      <c r="Q12" s="3">
        <v>1859947.673</v>
      </c>
      <c r="R12" s="3">
        <v>0</v>
      </c>
      <c r="S12" s="3">
        <v>0</v>
      </c>
      <c r="T12" s="31">
        <f t="shared" si="2"/>
        <v>4429554</v>
      </c>
      <c r="U12" s="31">
        <f t="shared" si="3"/>
        <v>7988880.4079999998</v>
      </c>
    </row>
    <row r="13" spans="1:21" x14ac:dyDescent="0.25">
      <c r="B13" s="7">
        <v>8</v>
      </c>
      <c r="C13" s="2" t="s">
        <v>18</v>
      </c>
      <c r="D13" s="3">
        <v>0</v>
      </c>
      <c r="E13" s="3">
        <v>3562651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f t="shared" si="0"/>
        <v>0</v>
      </c>
      <c r="M13" s="3">
        <f t="shared" si="1"/>
        <v>0</v>
      </c>
      <c r="N13" s="3">
        <v>544304</v>
      </c>
      <c r="O13" s="3">
        <v>1130076.81926</v>
      </c>
      <c r="P13" s="3">
        <v>304590</v>
      </c>
      <c r="Q13" s="3">
        <v>725414.34423000005</v>
      </c>
      <c r="R13" s="3">
        <v>0</v>
      </c>
      <c r="S13" s="3">
        <v>0</v>
      </c>
      <c r="T13" s="31">
        <f t="shared" si="2"/>
        <v>848894</v>
      </c>
      <c r="U13" s="31">
        <f t="shared" si="3"/>
        <v>1855491.1634900002</v>
      </c>
    </row>
    <row r="14" spans="1:21" x14ac:dyDescent="0.25">
      <c r="B14" s="7">
        <v>9</v>
      </c>
      <c r="C14" s="2" t="s">
        <v>19</v>
      </c>
      <c r="D14" s="3">
        <v>346683</v>
      </c>
      <c r="E14" s="3">
        <v>45758496</v>
      </c>
      <c r="F14" s="3">
        <v>452161</v>
      </c>
      <c r="G14" s="3">
        <v>1409625.7406500001</v>
      </c>
      <c r="H14" s="3">
        <v>192790</v>
      </c>
      <c r="I14" s="3">
        <v>682200.64369000006</v>
      </c>
      <c r="J14" s="3">
        <v>0</v>
      </c>
      <c r="K14" s="3">
        <v>0</v>
      </c>
      <c r="L14" s="3">
        <f t="shared" si="0"/>
        <v>644951</v>
      </c>
      <c r="M14" s="3">
        <f t="shared" si="1"/>
        <v>2091826.3843400001</v>
      </c>
      <c r="N14" s="3">
        <v>7577670</v>
      </c>
      <c r="O14" s="3">
        <v>15633891.51007</v>
      </c>
      <c r="P14" s="3">
        <v>4439036</v>
      </c>
      <c r="Q14" s="3">
        <v>7766873.7682600003</v>
      </c>
      <c r="R14" s="3">
        <v>0</v>
      </c>
      <c r="S14" s="3">
        <v>0</v>
      </c>
      <c r="T14" s="31">
        <f t="shared" si="2"/>
        <v>12016706</v>
      </c>
      <c r="U14" s="31">
        <f t="shared" si="3"/>
        <v>23400765.278329998</v>
      </c>
    </row>
    <row r="15" spans="1:21" x14ac:dyDescent="0.25">
      <c r="B15" s="7">
        <v>10</v>
      </c>
      <c r="C15" s="2" t="s">
        <v>20</v>
      </c>
      <c r="D15" s="3">
        <v>14828035</v>
      </c>
      <c r="E15" s="3">
        <v>275397426</v>
      </c>
      <c r="F15" s="3">
        <v>23801172</v>
      </c>
      <c r="G15" s="3">
        <v>70734824.761000007</v>
      </c>
      <c r="H15" s="3">
        <v>20973260</v>
      </c>
      <c r="I15" s="3">
        <v>162618118.229</v>
      </c>
      <c r="J15" s="3">
        <v>0</v>
      </c>
      <c r="K15" s="3">
        <v>0</v>
      </c>
      <c r="L15" s="3">
        <f t="shared" si="0"/>
        <v>44774432</v>
      </c>
      <c r="M15" s="3">
        <f t="shared" si="1"/>
        <v>233352942.99000001</v>
      </c>
      <c r="N15" s="3">
        <v>55892902</v>
      </c>
      <c r="O15" s="3">
        <v>110091781.48770998</v>
      </c>
      <c r="P15" s="3">
        <v>27362577</v>
      </c>
      <c r="Q15" s="3">
        <v>54554680.538440004</v>
      </c>
      <c r="R15" s="3">
        <v>1904</v>
      </c>
      <c r="S15" s="3">
        <v>23789.94328</v>
      </c>
      <c r="T15" s="31">
        <f t="shared" si="2"/>
        <v>83257383</v>
      </c>
      <c r="U15" s="31">
        <f t="shared" si="3"/>
        <v>164670251.96942997</v>
      </c>
    </row>
    <row r="16" spans="1:21" x14ac:dyDescent="0.25">
      <c r="B16" s="7">
        <v>11</v>
      </c>
      <c r="C16" s="2" t="s">
        <v>21</v>
      </c>
      <c r="D16" s="3">
        <v>0</v>
      </c>
      <c r="E16" s="3">
        <v>11879159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f t="shared" si="0"/>
        <v>0</v>
      </c>
      <c r="M16" s="3">
        <f t="shared" si="1"/>
        <v>0</v>
      </c>
      <c r="N16" s="3">
        <v>2010373</v>
      </c>
      <c r="O16" s="3">
        <v>3726307.52</v>
      </c>
      <c r="P16" s="3">
        <v>701675</v>
      </c>
      <c r="Q16" s="3">
        <v>1315907.507</v>
      </c>
      <c r="R16" s="3">
        <v>1062</v>
      </c>
      <c r="S16" s="3">
        <v>14619.191999999999</v>
      </c>
      <c r="T16" s="31">
        <f t="shared" si="2"/>
        <v>2713110</v>
      </c>
      <c r="U16" s="31">
        <f t="shared" si="3"/>
        <v>5056834.2190000005</v>
      </c>
    </row>
    <row r="17" spans="2:21" x14ac:dyDescent="0.25">
      <c r="B17" s="7">
        <v>12</v>
      </c>
      <c r="C17" s="2" t="s">
        <v>22</v>
      </c>
      <c r="D17" s="3">
        <v>555212</v>
      </c>
      <c r="E17" s="3">
        <v>50217508</v>
      </c>
      <c r="F17" s="3">
        <v>448212</v>
      </c>
      <c r="G17" s="3">
        <v>1396117.35968</v>
      </c>
      <c r="H17" s="3">
        <v>253431</v>
      </c>
      <c r="I17" s="3">
        <v>980026.55622999999</v>
      </c>
      <c r="J17" s="3">
        <v>0</v>
      </c>
      <c r="K17" s="3">
        <v>0</v>
      </c>
      <c r="L17" s="3">
        <f t="shared" si="0"/>
        <v>701643</v>
      </c>
      <c r="M17" s="3">
        <f t="shared" si="1"/>
        <v>2376143.91591</v>
      </c>
      <c r="N17" s="3">
        <v>9621500</v>
      </c>
      <c r="O17" s="3">
        <v>16260224.33</v>
      </c>
      <c r="P17" s="3">
        <v>6087540</v>
      </c>
      <c r="Q17" s="3">
        <v>9899039.8640000001</v>
      </c>
      <c r="R17" s="3">
        <v>3030</v>
      </c>
      <c r="S17" s="3">
        <v>11553.017</v>
      </c>
      <c r="T17" s="31">
        <f t="shared" si="2"/>
        <v>15712070</v>
      </c>
      <c r="U17" s="31">
        <f t="shared" si="3"/>
        <v>26170817.211000003</v>
      </c>
    </row>
    <row r="18" spans="2:21" x14ac:dyDescent="0.25">
      <c r="B18" s="4" t="s">
        <v>23</v>
      </c>
      <c r="C18" s="14"/>
      <c r="D18" s="1"/>
      <c r="E18" s="1"/>
      <c r="F18" s="1"/>
      <c r="G18" s="1"/>
      <c r="H18" s="1"/>
      <c r="I18" s="1"/>
      <c r="J18" s="1"/>
      <c r="K18" s="1"/>
      <c r="L18" s="3"/>
      <c r="M18" s="3"/>
      <c r="N18" s="3"/>
      <c r="O18" s="3"/>
      <c r="P18" s="3"/>
      <c r="Q18" s="3"/>
      <c r="R18" s="3"/>
      <c r="S18" s="3"/>
      <c r="T18" s="31"/>
      <c r="U18" s="31"/>
    </row>
    <row r="19" spans="2:21" x14ac:dyDescent="0.25">
      <c r="B19" s="7">
        <v>13</v>
      </c>
      <c r="C19" s="2" t="s">
        <v>24</v>
      </c>
      <c r="D19" s="3">
        <v>8824819</v>
      </c>
      <c r="E19" s="3">
        <v>28744562</v>
      </c>
      <c r="F19" s="18">
        <v>17845190</v>
      </c>
      <c r="G19" s="18">
        <v>54193911.984099999</v>
      </c>
      <c r="H19" s="18">
        <v>13846422</v>
      </c>
      <c r="I19" s="18">
        <v>73688804.956689999</v>
      </c>
      <c r="J19" s="18">
        <v>0</v>
      </c>
      <c r="K19" s="18">
        <v>0</v>
      </c>
      <c r="L19" s="3">
        <f t="shared" si="0"/>
        <v>31691612</v>
      </c>
      <c r="M19" s="3">
        <f t="shared" si="1"/>
        <v>127882716.94079</v>
      </c>
      <c r="N19" s="18">
        <v>10392648</v>
      </c>
      <c r="O19" s="18">
        <v>23483734.471000001</v>
      </c>
      <c r="P19" s="18">
        <v>5401291</v>
      </c>
      <c r="Q19" s="18">
        <v>19907247.511999998</v>
      </c>
      <c r="R19" s="3">
        <v>20618</v>
      </c>
      <c r="S19" s="3">
        <v>505016.37199000001</v>
      </c>
      <c r="T19" s="31">
        <f t="shared" si="2"/>
        <v>15814557</v>
      </c>
      <c r="U19" s="31">
        <f t="shared" si="3"/>
        <v>43895998.354989998</v>
      </c>
    </row>
    <row r="20" spans="2:21" x14ac:dyDescent="0.25">
      <c r="B20" s="7">
        <v>14</v>
      </c>
      <c r="C20" s="2" t="s">
        <v>25</v>
      </c>
      <c r="D20" s="3">
        <v>0</v>
      </c>
      <c r="E20" s="3">
        <v>5173422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f t="shared" si="0"/>
        <v>0</v>
      </c>
      <c r="M20" s="3">
        <f t="shared" si="1"/>
        <v>0</v>
      </c>
      <c r="N20" s="3">
        <v>602190</v>
      </c>
      <c r="O20" s="3">
        <v>1372924.9467599997</v>
      </c>
      <c r="P20" s="3">
        <v>288895</v>
      </c>
      <c r="Q20" s="3">
        <v>725784.88601000037</v>
      </c>
      <c r="R20" s="3">
        <v>0</v>
      </c>
      <c r="S20" s="3">
        <v>0</v>
      </c>
      <c r="T20" s="31">
        <f t="shared" si="2"/>
        <v>891085</v>
      </c>
      <c r="U20" s="31">
        <f t="shared" si="3"/>
        <v>2098709.8327700002</v>
      </c>
    </row>
    <row r="21" spans="2:21" x14ac:dyDescent="0.25">
      <c r="B21" s="7">
        <v>15</v>
      </c>
      <c r="C21" s="2" t="s">
        <v>26</v>
      </c>
      <c r="D21" s="3">
        <v>1618</v>
      </c>
      <c r="E21" s="3">
        <v>2651655</v>
      </c>
      <c r="F21" s="3">
        <v>1356</v>
      </c>
      <c r="G21" s="3">
        <v>4050.8673599999997</v>
      </c>
      <c r="H21" s="3">
        <v>350</v>
      </c>
      <c r="I21" s="3">
        <v>1161.7654199999999</v>
      </c>
      <c r="J21" s="3">
        <v>0</v>
      </c>
      <c r="K21" s="3">
        <v>0</v>
      </c>
      <c r="L21" s="3">
        <f t="shared" si="0"/>
        <v>1706</v>
      </c>
      <c r="M21" s="3">
        <f t="shared" si="1"/>
        <v>5212.6327799999999</v>
      </c>
      <c r="N21" s="3">
        <v>870444</v>
      </c>
      <c r="O21" s="3">
        <v>1686025.70422</v>
      </c>
      <c r="P21" s="3">
        <v>163335</v>
      </c>
      <c r="Q21" s="3">
        <v>315425.76760000002</v>
      </c>
      <c r="R21" s="3">
        <v>0</v>
      </c>
      <c r="S21" s="3">
        <v>0</v>
      </c>
      <c r="T21" s="31">
        <f t="shared" si="2"/>
        <v>1033779</v>
      </c>
      <c r="U21" s="31">
        <f t="shared" si="3"/>
        <v>2001451.4718200001</v>
      </c>
    </row>
    <row r="22" spans="2:21" x14ac:dyDescent="0.25">
      <c r="B22" s="7">
        <v>16</v>
      </c>
      <c r="C22" s="2" t="s">
        <v>27</v>
      </c>
      <c r="D22" s="3">
        <v>0</v>
      </c>
      <c r="E22" s="3">
        <v>837083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f t="shared" si="0"/>
        <v>0</v>
      </c>
      <c r="M22" s="3">
        <f t="shared" si="1"/>
        <v>0</v>
      </c>
      <c r="N22" s="3">
        <v>242735</v>
      </c>
      <c r="O22" s="3">
        <v>430037.98748000001</v>
      </c>
      <c r="P22" s="3">
        <v>44604</v>
      </c>
      <c r="Q22" s="3">
        <v>89844.010410000003</v>
      </c>
      <c r="R22" s="3">
        <v>6</v>
      </c>
      <c r="S22" s="3">
        <v>60</v>
      </c>
      <c r="T22" s="31">
        <f t="shared" si="2"/>
        <v>287345</v>
      </c>
      <c r="U22" s="31">
        <f t="shared" si="3"/>
        <v>519941.99789</v>
      </c>
    </row>
    <row r="23" spans="2:21" x14ac:dyDescent="0.25">
      <c r="B23" s="7">
        <v>17</v>
      </c>
      <c r="C23" s="2" t="s">
        <v>28</v>
      </c>
      <c r="D23" s="3">
        <v>0</v>
      </c>
      <c r="E23" s="3">
        <v>926092</v>
      </c>
      <c r="F23" s="3">
        <v>3817</v>
      </c>
      <c r="G23" s="3">
        <v>9655.6239999999998</v>
      </c>
      <c r="H23" s="3">
        <v>970</v>
      </c>
      <c r="I23" s="3">
        <v>3606.5279999999998</v>
      </c>
      <c r="J23" s="3">
        <v>0</v>
      </c>
      <c r="K23" s="3">
        <v>0</v>
      </c>
      <c r="L23" s="3">
        <f t="shared" si="0"/>
        <v>4787</v>
      </c>
      <c r="M23" s="3">
        <f t="shared" si="1"/>
        <v>13262.152</v>
      </c>
      <c r="N23" s="3">
        <v>285028</v>
      </c>
      <c r="O23" s="3">
        <v>533458.86699999997</v>
      </c>
      <c r="P23" s="3">
        <v>38091</v>
      </c>
      <c r="Q23" s="3">
        <v>139963.54800000001</v>
      </c>
      <c r="R23" s="3">
        <v>428</v>
      </c>
      <c r="S23" s="3">
        <v>14658.071</v>
      </c>
      <c r="T23" s="31">
        <f t="shared" si="2"/>
        <v>323547</v>
      </c>
      <c r="U23" s="31">
        <f t="shared" si="3"/>
        <v>688080.48600000003</v>
      </c>
    </row>
    <row r="24" spans="2:21" x14ac:dyDescent="0.25">
      <c r="B24" s="7">
        <v>18</v>
      </c>
      <c r="C24" s="2" t="s">
        <v>29</v>
      </c>
      <c r="D24" s="3">
        <v>8025</v>
      </c>
      <c r="E24" s="3">
        <v>518467</v>
      </c>
      <c r="F24" s="3">
        <v>19951</v>
      </c>
      <c r="G24" s="3">
        <v>40489.162600000003</v>
      </c>
      <c r="H24" s="3">
        <v>5022</v>
      </c>
      <c r="I24" s="3">
        <v>18117.665270000001</v>
      </c>
      <c r="J24" s="3">
        <v>8</v>
      </c>
      <c r="K24" s="3">
        <v>40.375529999999998</v>
      </c>
      <c r="L24" s="3">
        <f t="shared" si="0"/>
        <v>24981</v>
      </c>
      <c r="M24" s="3">
        <f t="shared" si="1"/>
        <v>58647.203400000006</v>
      </c>
      <c r="N24" s="3">
        <v>265609</v>
      </c>
      <c r="O24" s="3">
        <v>436685.62175999966</v>
      </c>
      <c r="P24" s="3">
        <v>31164</v>
      </c>
      <c r="Q24" s="3">
        <v>71684.62748000001</v>
      </c>
      <c r="R24" s="3">
        <v>0</v>
      </c>
      <c r="S24" s="3">
        <v>0</v>
      </c>
      <c r="T24" s="31">
        <f t="shared" si="2"/>
        <v>296773</v>
      </c>
      <c r="U24" s="31">
        <f t="shared" si="3"/>
        <v>508370.24923999968</v>
      </c>
    </row>
    <row r="25" spans="2:21" x14ac:dyDescent="0.25">
      <c r="B25" s="7">
        <v>19</v>
      </c>
      <c r="C25" s="2" t="s">
        <v>30</v>
      </c>
      <c r="D25" s="3">
        <v>332823</v>
      </c>
      <c r="E25" s="3">
        <v>12197238</v>
      </c>
      <c r="F25" s="3">
        <v>705959</v>
      </c>
      <c r="G25" s="3">
        <v>2242367.4989999998</v>
      </c>
      <c r="H25" s="3">
        <v>686769</v>
      </c>
      <c r="I25" s="3">
        <v>3831014.335</v>
      </c>
      <c r="J25" s="3">
        <v>0</v>
      </c>
      <c r="K25" s="3">
        <v>0</v>
      </c>
      <c r="L25" s="3">
        <f t="shared" si="0"/>
        <v>1392728</v>
      </c>
      <c r="M25" s="3">
        <f t="shared" si="1"/>
        <v>6073381.8339999998</v>
      </c>
      <c r="N25" s="3">
        <v>5283182</v>
      </c>
      <c r="O25" s="3">
        <v>9668780.0429999996</v>
      </c>
      <c r="P25" s="3">
        <v>1982612</v>
      </c>
      <c r="Q25" s="3">
        <v>4832150.5630000001</v>
      </c>
      <c r="R25" s="3">
        <v>2319</v>
      </c>
      <c r="S25" s="3">
        <v>27487.023000000001</v>
      </c>
      <c r="T25" s="31">
        <f t="shared" si="2"/>
        <v>7268113</v>
      </c>
      <c r="U25" s="31">
        <f t="shared" si="3"/>
        <v>14528417.629000001</v>
      </c>
    </row>
    <row r="26" spans="2:21" x14ac:dyDescent="0.25">
      <c r="B26" s="7">
        <v>20</v>
      </c>
      <c r="C26" s="2" t="s">
        <v>31</v>
      </c>
      <c r="D26" s="3">
        <v>16328522</v>
      </c>
      <c r="E26" s="3">
        <v>47410153</v>
      </c>
      <c r="F26" s="3">
        <v>30269038</v>
      </c>
      <c r="G26" s="3">
        <v>116795714.75</v>
      </c>
      <c r="H26" s="3">
        <v>28534968</v>
      </c>
      <c r="I26" s="3">
        <v>208222954.84999999</v>
      </c>
      <c r="J26" s="3">
        <v>0</v>
      </c>
      <c r="K26" s="3">
        <v>0</v>
      </c>
      <c r="L26" s="3">
        <f t="shared" si="0"/>
        <v>58804006</v>
      </c>
      <c r="M26" s="3">
        <f t="shared" si="1"/>
        <v>325018669.60000002</v>
      </c>
      <c r="N26" s="3">
        <v>22247157</v>
      </c>
      <c r="O26" s="3">
        <v>52310457.454999998</v>
      </c>
      <c r="P26" s="3">
        <v>16940674</v>
      </c>
      <c r="Q26" s="3">
        <v>43296503.978</v>
      </c>
      <c r="R26" s="3">
        <v>520727</v>
      </c>
      <c r="S26" s="3">
        <v>3095331.8089999999</v>
      </c>
      <c r="T26" s="31">
        <f t="shared" si="2"/>
        <v>39708558</v>
      </c>
      <c r="U26" s="31">
        <f t="shared" si="3"/>
        <v>98702293.241999999</v>
      </c>
    </row>
    <row r="27" spans="2:21" x14ac:dyDescent="0.25">
      <c r="B27" s="7">
        <v>21</v>
      </c>
      <c r="C27" s="2" t="s">
        <v>32</v>
      </c>
      <c r="D27" s="3">
        <v>13316346</v>
      </c>
      <c r="E27" s="3">
        <v>35633467</v>
      </c>
      <c r="F27" s="3">
        <v>26146920</v>
      </c>
      <c r="G27" s="3">
        <v>91002086.900999993</v>
      </c>
      <c r="H27" s="3">
        <v>22525898</v>
      </c>
      <c r="I27" s="3">
        <v>145310272.57100001</v>
      </c>
      <c r="J27" s="3">
        <v>0</v>
      </c>
      <c r="K27" s="3">
        <v>0</v>
      </c>
      <c r="L27" s="3">
        <f t="shared" si="0"/>
        <v>48672818</v>
      </c>
      <c r="M27" s="3">
        <f t="shared" si="1"/>
        <v>236312359.472</v>
      </c>
      <c r="N27" s="3">
        <v>14796212</v>
      </c>
      <c r="O27" s="3">
        <v>36039102.225000001</v>
      </c>
      <c r="P27" s="3">
        <v>6753562</v>
      </c>
      <c r="Q27" s="3">
        <v>29362586.662999999</v>
      </c>
      <c r="R27" s="3">
        <v>21536</v>
      </c>
      <c r="S27" s="3">
        <v>197954.74799999999</v>
      </c>
      <c r="T27" s="31">
        <f t="shared" si="2"/>
        <v>21571310</v>
      </c>
      <c r="U27" s="31">
        <f t="shared" si="3"/>
        <v>65599643.636</v>
      </c>
    </row>
    <row r="28" spans="2:21" x14ac:dyDescent="0.25">
      <c r="B28" s="7">
        <v>22</v>
      </c>
      <c r="C28" s="2" t="s">
        <v>33</v>
      </c>
      <c r="D28" s="3">
        <v>43232</v>
      </c>
      <c r="E28" s="3">
        <v>12507547</v>
      </c>
      <c r="F28" s="3">
        <v>69018</v>
      </c>
      <c r="G28" s="3">
        <v>212439.87369000001</v>
      </c>
      <c r="H28" s="3">
        <v>45597</v>
      </c>
      <c r="I28" s="3">
        <v>165897.71049999999</v>
      </c>
      <c r="J28" s="3">
        <v>0</v>
      </c>
      <c r="K28" s="3">
        <v>0</v>
      </c>
      <c r="L28" s="3">
        <f t="shared" si="0"/>
        <v>114615</v>
      </c>
      <c r="M28" s="3">
        <f t="shared" si="1"/>
        <v>378337.58418999997</v>
      </c>
      <c r="N28" s="3">
        <v>2440661</v>
      </c>
      <c r="O28" s="3">
        <v>4597198.818</v>
      </c>
      <c r="P28" s="3">
        <v>690237</v>
      </c>
      <c r="Q28" s="3">
        <v>1412638.1640000001</v>
      </c>
      <c r="R28" s="3">
        <v>0</v>
      </c>
      <c r="S28" s="3">
        <v>0</v>
      </c>
      <c r="T28" s="31">
        <f t="shared" si="2"/>
        <v>3130898</v>
      </c>
      <c r="U28" s="31">
        <f t="shared" si="3"/>
        <v>6009836.9819999998</v>
      </c>
    </row>
    <row r="29" spans="2:21" x14ac:dyDescent="0.25">
      <c r="B29" s="7">
        <v>23</v>
      </c>
      <c r="C29" s="2" t="s">
        <v>34</v>
      </c>
      <c r="D29" s="3">
        <v>1204190</v>
      </c>
      <c r="E29" s="3">
        <v>5007516</v>
      </c>
      <c r="F29" s="3">
        <v>1649188</v>
      </c>
      <c r="G29" s="3">
        <v>5559670.7741099996</v>
      </c>
      <c r="H29" s="3">
        <v>1394789</v>
      </c>
      <c r="I29" s="3">
        <v>9208151.3039699998</v>
      </c>
      <c r="J29" s="3">
        <v>0</v>
      </c>
      <c r="K29" s="3">
        <v>0</v>
      </c>
      <c r="L29" s="3">
        <f t="shared" si="0"/>
        <v>3043977</v>
      </c>
      <c r="M29" s="3">
        <f t="shared" si="1"/>
        <v>14767822.078079998</v>
      </c>
      <c r="N29" s="3">
        <v>1410670</v>
      </c>
      <c r="O29" s="3">
        <v>2081000.2339999999</v>
      </c>
      <c r="P29" s="3">
        <v>429377</v>
      </c>
      <c r="Q29" s="3">
        <v>1467695.55397</v>
      </c>
      <c r="R29" s="3">
        <v>0</v>
      </c>
      <c r="S29" s="3">
        <v>0</v>
      </c>
      <c r="T29" s="31">
        <f t="shared" si="2"/>
        <v>1840047</v>
      </c>
      <c r="U29" s="31">
        <f t="shared" si="3"/>
        <v>3548695.7879699999</v>
      </c>
    </row>
    <row r="30" spans="2:21" x14ac:dyDescent="0.25">
      <c r="B30" s="7">
        <v>24</v>
      </c>
      <c r="C30" s="2" t="s">
        <v>35</v>
      </c>
      <c r="D30" s="3">
        <v>1931403</v>
      </c>
      <c r="E30" s="3">
        <v>7593333</v>
      </c>
      <c r="F30" s="3">
        <v>2480963</v>
      </c>
      <c r="G30" s="3">
        <v>11133329.449999999</v>
      </c>
      <c r="H30" s="3">
        <v>2801456</v>
      </c>
      <c r="I30" s="3">
        <v>33915448.925999999</v>
      </c>
      <c r="J30" s="3">
        <v>0</v>
      </c>
      <c r="K30" s="3">
        <v>0</v>
      </c>
      <c r="L30" s="3">
        <f t="shared" si="0"/>
        <v>5282419</v>
      </c>
      <c r="M30" s="3">
        <f t="shared" si="1"/>
        <v>45048778.376000002</v>
      </c>
      <c r="N30" s="3">
        <v>1541061</v>
      </c>
      <c r="O30" s="3">
        <v>3238382.4619999998</v>
      </c>
      <c r="P30" s="3">
        <v>962054</v>
      </c>
      <c r="Q30" s="3">
        <v>3224910.361</v>
      </c>
      <c r="R30" s="3">
        <v>989</v>
      </c>
      <c r="S30" s="3">
        <v>61792.196630000006</v>
      </c>
      <c r="T30" s="31">
        <f t="shared" si="2"/>
        <v>2504104</v>
      </c>
      <c r="U30" s="31">
        <f t="shared" si="3"/>
        <v>6525085.01963</v>
      </c>
    </row>
    <row r="31" spans="2:21" x14ac:dyDescent="0.25">
      <c r="B31" s="7">
        <v>25</v>
      </c>
      <c r="C31" s="2" t="s">
        <v>36</v>
      </c>
      <c r="D31" s="3">
        <v>83010</v>
      </c>
      <c r="E31" s="3">
        <v>3660711</v>
      </c>
      <c r="F31" s="3">
        <v>129451</v>
      </c>
      <c r="G31" s="3">
        <v>859513.16914999997</v>
      </c>
      <c r="H31" s="3">
        <v>112849</v>
      </c>
      <c r="I31" s="3">
        <v>294467.22174000001</v>
      </c>
      <c r="J31" s="3">
        <v>0</v>
      </c>
      <c r="K31" s="3">
        <v>0</v>
      </c>
      <c r="L31" s="3">
        <f t="shared" si="0"/>
        <v>242300</v>
      </c>
      <c r="M31" s="3">
        <f t="shared" si="1"/>
        <v>1153980.3908899999</v>
      </c>
      <c r="N31" s="3">
        <v>1258271</v>
      </c>
      <c r="O31" s="3">
        <v>2739868.01559</v>
      </c>
      <c r="P31" s="3">
        <v>3384171</v>
      </c>
      <c r="Q31" s="3">
        <v>1375455.3953199999</v>
      </c>
      <c r="R31" s="3">
        <v>0</v>
      </c>
      <c r="S31" s="3">
        <v>0</v>
      </c>
      <c r="T31" s="31">
        <f t="shared" si="2"/>
        <v>4642442</v>
      </c>
      <c r="U31" s="31">
        <f t="shared" si="3"/>
        <v>4115323.4109100001</v>
      </c>
    </row>
    <row r="32" spans="2:21" x14ac:dyDescent="0.25">
      <c r="B32" s="7">
        <v>26</v>
      </c>
      <c r="C32" s="2" t="s">
        <v>37</v>
      </c>
      <c r="D32" s="3">
        <v>0</v>
      </c>
      <c r="E32" s="3">
        <v>5185163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f t="shared" si="0"/>
        <v>0</v>
      </c>
      <c r="M32" s="3">
        <f t="shared" si="1"/>
        <v>0</v>
      </c>
      <c r="N32" s="3">
        <v>1772879</v>
      </c>
      <c r="O32" s="3">
        <v>2496076.4300000002</v>
      </c>
      <c r="P32" s="3">
        <v>307799</v>
      </c>
      <c r="Q32" s="3">
        <v>547550.37199999997</v>
      </c>
      <c r="R32" s="3">
        <v>0</v>
      </c>
      <c r="S32" s="3">
        <v>0</v>
      </c>
      <c r="T32" s="31">
        <f t="shared" si="2"/>
        <v>2080678</v>
      </c>
      <c r="U32" s="31">
        <f t="shared" si="3"/>
        <v>3043626.8020000001</v>
      </c>
    </row>
    <row r="33" spans="1:21" x14ac:dyDescent="0.25">
      <c r="B33" s="7">
        <v>27</v>
      </c>
      <c r="C33" s="2" t="s">
        <v>38</v>
      </c>
      <c r="D33" s="3">
        <v>11556</v>
      </c>
      <c r="E33" s="3">
        <v>4015071</v>
      </c>
      <c r="F33" s="3">
        <v>23356</v>
      </c>
      <c r="G33" s="3">
        <v>145641.9081</v>
      </c>
      <c r="H33" s="3">
        <v>8357</v>
      </c>
      <c r="I33" s="3">
        <v>86828.209269999992</v>
      </c>
      <c r="J33" s="3">
        <v>0</v>
      </c>
      <c r="K33" s="3">
        <v>0</v>
      </c>
      <c r="L33" s="3">
        <f t="shared" si="0"/>
        <v>31713</v>
      </c>
      <c r="M33" s="3">
        <f t="shared" si="1"/>
        <v>232470.11736999999</v>
      </c>
      <c r="N33" s="3">
        <v>1809096</v>
      </c>
      <c r="O33" s="3">
        <v>3731818.5430000001</v>
      </c>
      <c r="P33" s="3">
        <v>338296</v>
      </c>
      <c r="Q33" s="3">
        <v>1012554.2709999999</v>
      </c>
      <c r="R33" s="3">
        <v>10271</v>
      </c>
      <c r="S33" s="3">
        <v>210389.5619</v>
      </c>
      <c r="T33" s="31">
        <f t="shared" si="2"/>
        <v>2157663</v>
      </c>
      <c r="U33" s="31">
        <f t="shared" si="3"/>
        <v>4954762.3759000003</v>
      </c>
    </row>
    <row r="34" spans="1:21" x14ac:dyDescent="0.25">
      <c r="B34" s="7">
        <v>28</v>
      </c>
      <c r="C34" s="2" t="s">
        <v>39</v>
      </c>
      <c r="D34" s="3">
        <v>4299906</v>
      </c>
      <c r="E34" s="3">
        <v>25797993</v>
      </c>
      <c r="F34" s="3">
        <v>4622804</v>
      </c>
      <c r="G34" s="3">
        <v>16813559.853</v>
      </c>
      <c r="H34" s="3">
        <v>3840921</v>
      </c>
      <c r="I34" s="3">
        <v>22798855.092999998</v>
      </c>
      <c r="J34" s="3">
        <v>0</v>
      </c>
      <c r="K34" s="3">
        <v>0</v>
      </c>
      <c r="L34" s="3">
        <f t="shared" si="0"/>
        <v>8463725</v>
      </c>
      <c r="M34" s="3">
        <f t="shared" si="1"/>
        <v>39612414.945999995</v>
      </c>
      <c r="N34" s="3">
        <v>4676632</v>
      </c>
      <c r="O34" s="3">
        <v>8428245.784</v>
      </c>
      <c r="P34" s="3">
        <v>3604780</v>
      </c>
      <c r="Q34" s="3">
        <v>8354334.2400000002</v>
      </c>
      <c r="R34" s="3">
        <v>0</v>
      </c>
      <c r="S34" s="3">
        <v>0</v>
      </c>
      <c r="T34" s="31">
        <f t="shared" si="2"/>
        <v>8281412</v>
      </c>
      <c r="U34" s="31">
        <f t="shared" si="3"/>
        <v>16782580.024</v>
      </c>
    </row>
    <row r="35" spans="1:21" x14ac:dyDescent="0.25">
      <c r="B35" s="7">
        <v>29</v>
      </c>
      <c r="C35" s="2" t="s">
        <v>40</v>
      </c>
      <c r="D35" s="3">
        <v>4097800</v>
      </c>
      <c r="E35" s="3">
        <v>1459654</v>
      </c>
      <c r="F35" s="3">
        <v>5987821</v>
      </c>
      <c r="G35" s="3">
        <v>22192800.495999999</v>
      </c>
      <c r="H35" s="3">
        <v>3839493</v>
      </c>
      <c r="I35" s="3">
        <v>26004182.269000001</v>
      </c>
      <c r="J35" s="3">
        <v>0</v>
      </c>
      <c r="K35" s="3">
        <v>0</v>
      </c>
      <c r="L35" s="3">
        <f t="shared" si="0"/>
        <v>9827314</v>
      </c>
      <c r="M35" s="3">
        <f t="shared" si="1"/>
        <v>48196982.765000001</v>
      </c>
      <c r="N35" s="3">
        <v>294240</v>
      </c>
      <c r="O35" s="3">
        <v>580744.79970000009</v>
      </c>
      <c r="P35" s="3">
        <v>137696</v>
      </c>
      <c r="Q35" s="3">
        <v>462993.73439999996</v>
      </c>
      <c r="R35" s="3">
        <v>102</v>
      </c>
      <c r="S35" s="3">
        <v>3250.5705899999998</v>
      </c>
      <c r="T35" s="31">
        <f t="shared" si="2"/>
        <v>432038</v>
      </c>
      <c r="U35" s="31">
        <f t="shared" si="3"/>
        <v>1046989.1046900001</v>
      </c>
    </row>
    <row r="36" spans="1:21" x14ac:dyDescent="0.25">
      <c r="B36" s="7">
        <v>30</v>
      </c>
      <c r="C36" s="2" t="s">
        <v>41</v>
      </c>
      <c r="D36" s="3">
        <v>141237</v>
      </c>
      <c r="E36" s="3">
        <v>3551727</v>
      </c>
      <c r="F36" s="3">
        <v>354237</v>
      </c>
      <c r="G36" s="3">
        <v>1122691.2924000002</v>
      </c>
      <c r="H36" s="3">
        <v>327592</v>
      </c>
      <c r="I36" s="3">
        <v>2000269.47862</v>
      </c>
      <c r="J36" s="3">
        <v>0</v>
      </c>
      <c r="K36" s="3">
        <v>0</v>
      </c>
      <c r="L36" s="3">
        <f t="shared" si="0"/>
        <v>681829</v>
      </c>
      <c r="M36" s="3">
        <f t="shared" si="1"/>
        <v>3122960.7710199999</v>
      </c>
      <c r="N36" s="3">
        <v>1847779</v>
      </c>
      <c r="O36" s="3">
        <v>3434976.00562</v>
      </c>
      <c r="P36" s="3">
        <v>369017</v>
      </c>
      <c r="Q36" s="3">
        <v>996533.22528000001</v>
      </c>
      <c r="R36" s="3">
        <v>0</v>
      </c>
      <c r="S36" s="3">
        <v>0</v>
      </c>
      <c r="T36" s="31">
        <f t="shared" si="2"/>
        <v>2216796</v>
      </c>
      <c r="U36" s="31">
        <f t="shared" si="3"/>
        <v>4431509.2308999998</v>
      </c>
    </row>
    <row r="37" spans="1:21" x14ac:dyDescent="0.25">
      <c r="B37" s="7">
        <v>31</v>
      </c>
      <c r="C37" s="2" t="s">
        <v>42</v>
      </c>
      <c r="D37" s="3">
        <v>40917</v>
      </c>
      <c r="E37" s="3">
        <v>2124906</v>
      </c>
      <c r="F37" s="3">
        <v>44100</v>
      </c>
      <c r="G37" s="3">
        <v>201559.24100000001</v>
      </c>
      <c r="H37" s="3">
        <v>20724</v>
      </c>
      <c r="I37" s="3">
        <v>107006.8</v>
      </c>
      <c r="J37" s="3">
        <v>0</v>
      </c>
      <c r="K37" s="3">
        <v>0</v>
      </c>
      <c r="L37" s="3">
        <f t="shared" si="0"/>
        <v>64824</v>
      </c>
      <c r="M37" s="3">
        <f t="shared" si="1"/>
        <v>308566.04100000003</v>
      </c>
      <c r="N37" s="3">
        <v>460264</v>
      </c>
      <c r="O37" s="3">
        <v>978118.06883</v>
      </c>
      <c r="P37" s="3">
        <v>113404</v>
      </c>
      <c r="Q37" s="3">
        <v>211463.64238</v>
      </c>
      <c r="R37" s="3">
        <v>134</v>
      </c>
      <c r="S37" s="3">
        <v>367.82600000000002</v>
      </c>
      <c r="T37" s="31">
        <f t="shared" si="2"/>
        <v>573802</v>
      </c>
      <c r="U37" s="31">
        <f t="shared" si="3"/>
        <v>1189949.53721</v>
      </c>
    </row>
    <row r="38" spans="1:21" x14ac:dyDescent="0.25">
      <c r="B38" s="7">
        <v>32</v>
      </c>
      <c r="C38" s="2" t="s">
        <v>43</v>
      </c>
      <c r="D38" s="3">
        <v>1291423</v>
      </c>
      <c r="E38" s="3">
        <v>3898519</v>
      </c>
      <c r="F38" s="3">
        <v>1748081</v>
      </c>
      <c r="G38" s="3">
        <v>5290246.8352399999</v>
      </c>
      <c r="H38" s="3">
        <v>1037010</v>
      </c>
      <c r="I38" s="3">
        <v>7343034.1826599995</v>
      </c>
      <c r="J38" s="3">
        <v>0</v>
      </c>
      <c r="K38" s="3">
        <v>0</v>
      </c>
      <c r="L38" s="3">
        <f t="shared" si="0"/>
        <v>2785091</v>
      </c>
      <c r="M38" s="3">
        <f t="shared" si="1"/>
        <v>12633281.017899999</v>
      </c>
      <c r="N38" s="3">
        <v>1264784</v>
      </c>
      <c r="O38" s="3">
        <v>2379257.3857100531</v>
      </c>
      <c r="P38" s="3">
        <v>681924</v>
      </c>
      <c r="Q38" s="3">
        <v>1650945.9408199345</v>
      </c>
      <c r="R38" s="3">
        <v>51</v>
      </c>
      <c r="S38" s="3">
        <v>1007.776</v>
      </c>
      <c r="T38" s="31">
        <f t="shared" si="2"/>
        <v>1946759</v>
      </c>
      <c r="U38" s="31">
        <f t="shared" si="3"/>
        <v>4031211.1025299877</v>
      </c>
    </row>
    <row r="39" spans="1:21" x14ac:dyDescent="0.25">
      <c r="B39" s="4" t="s">
        <v>44</v>
      </c>
      <c r="C39" s="14"/>
      <c r="D39" s="1"/>
      <c r="E39" s="1"/>
      <c r="F39" s="1"/>
      <c r="G39" s="3"/>
      <c r="H39" s="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1"/>
      <c r="U39" s="31"/>
    </row>
    <row r="40" spans="1:21" x14ac:dyDescent="0.25">
      <c r="B40" s="7">
        <v>33</v>
      </c>
      <c r="C40" s="2" t="s">
        <v>45</v>
      </c>
      <c r="D40" s="3">
        <v>1299223</v>
      </c>
      <c r="E40" s="3">
        <v>0</v>
      </c>
      <c r="F40" s="3">
        <v>899315</v>
      </c>
      <c r="G40" s="3">
        <v>6809527.4570000004</v>
      </c>
      <c r="H40" s="3">
        <v>3229875</v>
      </c>
      <c r="I40" s="3">
        <v>24610542.094000001</v>
      </c>
      <c r="J40" s="3">
        <v>0</v>
      </c>
      <c r="K40" s="3">
        <v>0</v>
      </c>
      <c r="L40" s="3">
        <f t="shared" si="0"/>
        <v>4129190</v>
      </c>
      <c r="M40" s="3">
        <f t="shared" si="1"/>
        <v>31420069.550999999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1">
        <f t="shared" si="2"/>
        <v>0</v>
      </c>
      <c r="U40" s="31">
        <f t="shared" si="3"/>
        <v>0</v>
      </c>
    </row>
    <row r="41" spans="1:21" x14ac:dyDescent="0.25">
      <c r="B41" s="7">
        <v>34</v>
      </c>
      <c r="C41" s="2" t="s">
        <v>46</v>
      </c>
      <c r="D41" s="3">
        <v>17930</v>
      </c>
      <c r="E41" s="3">
        <v>0</v>
      </c>
      <c r="F41" s="3">
        <v>22289</v>
      </c>
      <c r="G41" s="3">
        <v>110279.2785</v>
      </c>
      <c r="H41" s="3">
        <v>12710</v>
      </c>
      <c r="I41" s="3">
        <v>176772.97347000003</v>
      </c>
      <c r="J41" s="3">
        <v>0</v>
      </c>
      <c r="K41" s="3">
        <v>0</v>
      </c>
      <c r="L41" s="3">
        <f t="shared" si="0"/>
        <v>34999</v>
      </c>
      <c r="M41" s="3">
        <f t="shared" si="1"/>
        <v>287052.25197000004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1">
        <f t="shared" si="2"/>
        <v>0</v>
      </c>
      <c r="U41" s="31">
        <f t="shared" si="3"/>
        <v>0</v>
      </c>
    </row>
    <row r="42" spans="1:21" x14ac:dyDescent="0.25">
      <c r="B42" s="7">
        <v>35</v>
      </c>
      <c r="C42" s="2" t="s">
        <v>47</v>
      </c>
      <c r="D42" s="3">
        <v>0</v>
      </c>
      <c r="E42" s="3">
        <v>980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f t="shared" si="0"/>
        <v>0</v>
      </c>
      <c r="M42" s="3">
        <f t="shared" si="1"/>
        <v>0</v>
      </c>
      <c r="N42" s="3">
        <v>35</v>
      </c>
      <c r="O42" s="3">
        <v>403.61</v>
      </c>
      <c r="P42" s="3">
        <v>4</v>
      </c>
      <c r="Q42" s="3">
        <v>6.1220400000000001</v>
      </c>
      <c r="R42" s="3">
        <v>0</v>
      </c>
      <c r="S42" s="3">
        <v>0</v>
      </c>
      <c r="T42" s="31">
        <f t="shared" si="2"/>
        <v>39</v>
      </c>
      <c r="U42" s="31">
        <f t="shared" si="3"/>
        <v>409.73204000000004</v>
      </c>
    </row>
    <row r="43" spans="1:21" x14ac:dyDescent="0.25">
      <c r="B43" s="7">
        <v>36</v>
      </c>
      <c r="C43" s="2" t="s">
        <v>48</v>
      </c>
      <c r="D43" s="3">
        <v>2466201</v>
      </c>
      <c r="E43" s="3">
        <v>1319374</v>
      </c>
      <c r="F43" s="3">
        <v>7240815</v>
      </c>
      <c r="G43" s="3">
        <v>19461223.760439999</v>
      </c>
      <c r="H43" s="3">
        <v>4307171</v>
      </c>
      <c r="I43" s="3">
        <v>20419658.23593</v>
      </c>
      <c r="J43" s="3">
        <v>0</v>
      </c>
      <c r="K43" s="3">
        <v>0</v>
      </c>
      <c r="L43" s="3">
        <f t="shared" si="0"/>
        <v>11547986</v>
      </c>
      <c r="M43" s="3">
        <f t="shared" si="1"/>
        <v>39880881.996370003</v>
      </c>
      <c r="N43" s="3">
        <v>813144</v>
      </c>
      <c r="O43" s="3">
        <v>2026433.4799500001</v>
      </c>
      <c r="P43" s="3">
        <v>878076</v>
      </c>
      <c r="Q43" s="3">
        <v>2738237.5240899995</v>
      </c>
      <c r="R43" s="3">
        <v>0</v>
      </c>
      <c r="S43" s="3">
        <v>0</v>
      </c>
      <c r="T43" s="31">
        <f t="shared" si="2"/>
        <v>1691220</v>
      </c>
      <c r="U43" s="31">
        <f t="shared" si="3"/>
        <v>4764671.0040399991</v>
      </c>
    </row>
    <row r="44" spans="1:21" x14ac:dyDescent="0.25">
      <c r="B44" s="7">
        <v>37</v>
      </c>
      <c r="C44" s="2" t="s">
        <v>49</v>
      </c>
      <c r="D44" s="3">
        <v>73338</v>
      </c>
      <c r="E44" s="3">
        <v>1964920</v>
      </c>
      <c r="F44" s="3">
        <v>77379</v>
      </c>
      <c r="G44" s="3">
        <v>251415.58002000002</v>
      </c>
      <c r="H44" s="3">
        <v>60601</v>
      </c>
      <c r="I44" s="3">
        <v>420586.97889999999</v>
      </c>
      <c r="J44" s="3">
        <v>0</v>
      </c>
      <c r="K44" s="3">
        <v>0</v>
      </c>
      <c r="L44" s="3">
        <f t="shared" si="0"/>
        <v>137980</v>
      </c>
      <c r="M44" s="3">
        <f t="shared" si="1"/>
        <v>672002.55891999998</v>
      </c>
      <c r="N44" s="3">
        <v>555731</v>
      </c>
      <c r="O44" s="3">
        <v>843492.95166999998</v>
      </c>
      <c r="P44" s="3">
        <v>229953</v>
      </c>
      <c r="Q44" s="3">
        <v>434262.42475999997</v>
      </c>
      <c r="R44" s="3">
        <v>459</v>
      </c>
      <c r="S44" s="3">
        <v>6546.3829999999998</v>
      </c>
      <c r="T44" s="31">
        <f t="shared" si="2"/>
        <v>786143</v>
      </c>
      <c r="U44" s="31">
        <f t="shared" si="3"/>
        <v>1284301.7594299999</v>
      </c>
    </row>
    <row r="45" spans="1:21" x14ac:dyDescent="0.25">
      <c r="B45" s="7">
        <v>38</v>
      </c>
      <c r="C45" s="2" t="s">
        <v>50</v>
      </c>
      <c r="D45" s="3">
        <v>0</v>
      </c>
      <c r="E45" s="3">
        <v>118573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f t="shared" si="0"/>
        <v>0</v>
      </c>
      <c r="M45" s="3">
        <f t="shared" si="1"/>
        <v>0</v>
      </c>
      <c r="N45" s="3">
        <v>68622</v>
      </c>
      <c r="O45" s="3">
        <v>161777.81147999997</v>
      </c>
      <c r="P45" s="3">
        <v>15372</v>
      </c>
      <c r="Q45" s="3">
        <v>55757.896860000001</v>
      </c>
      <c r="R45" s="3">
        <v>0</v>
      </c>
      <c r="S45" s="3">
        <v>0</v>
      </c>
      <c r="T45" s="31">
        <f t="shared" si="2"/>
        <v>83994</v>
      </c>
      <c r="U45" s="31">
        <f t="shared" si="3"/>
        <v>217535.70833999998</v>
      </c>
    </row>
    <row r="46" spans="1:21" x14ac:dyDescent="0.25">
      <c r="B46" s="7">
        <v>39</v>
      </c>
      <c r="C46" s="2" t="s">
        <v>51</v>
      </c>
      <c r="D46" s="3">
        <v>717508</v>
      </c>
      <c r="E46" s="3">
        <v>542818</v>
      </c>
      <c r="F46" s="3">
        <v>585307</v>
      </c>
      <c r="G46" s="3">
        <v>3557118.91047</v>
      </c>
      <c r="H46" s="3">
        <v>1048353</v>
      </c>
      <c r="I46" s="3">
        <v>3724814.1096000001</v>
      </c>
      <c r="J46" s="3">
        <v>0</v>
      </c>
      <c r="K46" s="3">
        <v>0</v>
      </c>
      <c r="L46" s="3">
        <f t="shared" si="0"/>
        <v>1633660</v>
      </c>
      <c r="M46" s="3">
        <f t="shared" si="1"/>
        <v>7281933.0200699996</v>
      </c>
      <c r="N46" s="3">
        <v>366998</v>
      </c>
      <c r="O46" s="3">
        <v>921152.05226000003</v>
      </c>
      <c r="P46" s="3">
        <v>0</v>
      </c>
      <c r="Q46" s="3">
        <v>0</v>
      </c>
      <c r="R46" s="3">
        <v>0</v>
      </c>
      <c r="S46" s="3">
        <v>0</v>
      </c>
      <c r="T46" s="31">
        <f t="shared" si="2"/>
        <v>366998</v>
      </c>
      <c r="U46" s="31">
        <f t="shared" si="3"/>
        <v>921152.05226000003</v>
      </c>
    </row>
    <row r="47" spans="1:21" x14ac:dyDescent="0.25">
      <c r="A47" s="9" t="s">
        <v>52</v>
      </c>
      <c r="B47" s="7">
        <v>40</v>
      </c>
      <c r="C47" s="2" t="s">
        <v>53</v>
      </c>
      <c r="D47" s="3">
        <v>1383164</v>
      </c>
      <c r="E47" s="3">
        <v>291887</v>
      </c>
      <c r="F47" s="3">
        <v>441148</v>
      </c>
      <c r="G47" s="3">
        <v>1875226.9480000001</v>
      </c>
      <c r="H47" s="3">
        <v>1115314</v>
      </c>
      <c r="I47" s="3">
        <v>4964662.5089999996</v>
      </c>
      <c r="J47" s="3">
        <v>0</v>
      </c>
      <c r="K47" s="3">
        <v>0</v>
      </c>
      <c r="L47" s="3">
        <f t="shared" si="0"/>
        <v>1556462</v>
      </c>
      <c r="M47" s="3">
        <f t="shared" si="1"/>
        <v>6839889.4569999995</v>
      </c>
      <c r="N47" s="3">
        <v>13332</v>
      </c>
      <c r="O47" s="3">
        <v>33314.824000000001</v>
      </c>
      <c r="P47" s="3">
        <v>39146</v>
      </c>
      <c r="Q47" s="3">
        <v>98128.035999999993</v>
      </c>
      <c r="R47" s="3">
        <v>0</v>
      </c>
      <c r="S47" s="3">
        <v>0</v>
      </c>
      <c r="T47" s="31">
        <f t="shared" si="2"/>
        <v>52478</v>
      </c>
      <c r="U47" s="31">
        <f t="shared" si="3"/>
        <v>131442.85999999999</v>
      </c>
    </row>
    <row r="48" spans="1:21" x14ac:dyDescent="0.25">
      <c r="B48" s="7">
        <v>41</v>
      </c>
      <c r="C48" s="14" t="s">
        <v>54</v>
      </c>
      <c r="D48" s="3">
        <v>1217340</v>
      </c>
      <c r="E48" s="3">
        <v>1189948</v>
      </c>
      <c r="F48" s="3">
        <v>1848930</v>
      </c>
      <c r="G48" s="3">
        <v>5350277.3269999996</v>
      </c>
      <c r="H48" s="3">
        <v>1148488</v>
      </c>
      <c r="I48" s="3">
        <v>6068553.2860000003</v>
      </c>
      <c r="J48" s="3">
        <v>0</v>
      </c>
      <c r="K48" s="3">
        <v>0</v>
      </c>
      <c r="L48" s="3">
        <f t="shared" si="0"/>
        <v>2997418</v>
      </c>
      <c r="M48" s="3">
        <f t="shared" si="1"/>
        <v>11418830.613</v>
      </c>
      <c r="N48" s="3">
        <v>895916</v>
      </c>
      <c r="O48" s="3">
        <v>2223752.281</v>
      </c>
      <c r="P48" s="3">
        <v>386069</v>
      </c>
      <c r="Q48" s="3">
        <v>797211.56179999991</v>
      </c>
      <c r="R48" s="3">
        <v>36</v>
      </c>
      <c r="S48" s="3">
        <v>670.90899999999999</v>
      </c>
      <c r="T48" s="31">
        <f t="shared" si="2"/>
        <v>1282021</v>
      </c>
      <c r="U48" s="31">
        <f t="shared" si="3"/>
        <v>3021634.7517999997</v>
      </c>
    </row>
    <row r="49" spans="1:21" s="16" customFormat="1" x14ac:dyDescent="0.25">
      <c r="A49" s="15"/>
      <c r="B49" s="8" t="s">
        <v>55</v>
      </c>
      <c r="C49" s="14"/>
      <c r="D49" s="5">
        <v>77701744</v>
      </c>
      <c r="E49" s="5">
        <v>938537898</v>
      </c>
      <c r="F49" s="5">
        <v>131162791</v>
      </c>
      <c r="G49" s="5">
        <v>449687809.00956017</v>
      </c>
      <c r="H49" s="5">
        <v>114141372</v>
      </c>
      <c r="I49" s="5">
        <v>771249823.79929996</v>
      </c>
      <c r="J49" s="5">
        <v>1413</v>
      </c>
      <c r="K49" s="5">
        <v>724.52953000000002</v>
      </c>
      <c r="L49" s="30">
        <f t="shared" si="0"/>
        <v>245305576</v>
      </c>
      <c r="M49" s="30">
        <f t="shared" si="1"/>
        <v>1220938357.3383901</v>
      </c>
      <c r="N49" s="5">
        <v>188757942</v>
      </c>
      <c r="O49" s="5">
        <v>380931940.40843016</v>
      </c>
      <c r="P49" s="5">
        <v>100578125</v>
      </c>
      <c r="Q49" s="5">
        <v>226690059.80833998</v>
      </c>
      <c r="R49" s="5">
        <v>601748</v>
      </c>
      <c r="S49" s="5">
        <v>4417142.0571800005</v>
      </c>
      <c r="T49" s="32">
        <f t="shared" si="2"/>
        <v>289937815</v>
      </c>
      <c r="U49" s="32">
        <f t="shared" si="3"/>
        <v>612039142.2739501</v>
      </c>
    </row>
    <row r="50" spans="1:21" x14ac:dyDescent="0.25">
      <c r="A50" s="17"/>
      <c r="B50" s="6"/>
      <c r="C50" s="6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</sheetData>
  <mergeCells count="18">
    <mergeCell ref="F1:M1"/>
    <mergeCell ref="T3:U3"/>
    <mergeCell ref="N1:U1"/>
    <mergeCell ref="N2:U2"/>
    <mergeCell ref="D50:S50"/>
    <mergeCell ref="E2:E4"/>
    <mergeCell ref="F3:G3"/>
    <mergeCell ref="H3:I3"/>
    <mergeCell ref="J3:K3"/>
    <mergeCell ref="N3:O3"/>
    <mergeCell ref="P3:Q3"/>
    <mergeCell ref="R3:S3"/>
    <mergeCell ref="L3:M3"/>
    <mergeCell ref="F2:M2"/>
    <mergeCell ref="B1:B4"/>
    <mergeCell ref="C1:C4"/>
    <mergeCell ref="D1:E1"/>
    <mergeCell ref="D2:D4"/>
  </mergeCells>
  <pageMargins left="0.03" right="0" top="7.874015748031496E-2" bottom="0.11811023622047245" header="0.19685039370078741" footer="0"/>
  <pageSetup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Manas</cp:lastModifiedBy>
  <cp:lastPrinted>2023-06-22T10:11:22Z</cp:lastPrinted>
  <dcterms:created xsi:type="dcterms:W3CDTF">2022-10-14T05:35:27Z</dcterms:created>
  <dcterms:modified xsi:type="dcterms:W3CDTF">2023-07-18T15:42:52Z</dcterms:modified>
</cp:coreProperties>
</file>